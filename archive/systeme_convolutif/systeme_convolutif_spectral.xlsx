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6270d0402af934/Documents/Nouveau dossier/"/>
    </mc:Choice>
  </mc:AlternateContent>
  <xr:revisionPtr revIDLastSave="0" documentId="8_{38FBF82F-BFDB-4712-A97E-B2112128D165}" xr6:coauthVersionLast="47" xr6:coauthVersionMax="47" xr10:uidLastSave="{00000000-0000-0000-0000-000000000000}"/>
  <bookViews>
    <workbookView xWindow="-108" yWindow="-108" windowWidth="23256" windowHeight="12456" firstSheet="3" activeTab="5" xr2:uid="{94FC768F-9FCE-451E-920F-E41720C0B4E4}"/>
  </bookViews>
  <sheets>
    <sheet name="Accueil" sheetId="7" r:id="rId1"/>
    <sheet name="Exemple 1-3" sheetId="1" r:id="rId2"/>
    <sheet name="Parametres" sheetId="8" r:id="rId3"/>
    <sheet name="Moteur Universel" sheetId="12" r:id="rId4"/>
    <sheet name="Modèle Formel" sheetId="13" r:id="rId5"/>
    <sheet name="Démonstration Formelle" sheetId="14" r:id="rId6"/>
    <sheet name="Convolution" sheetId="9" r:id="rId7"/>
    <sheet name="Tests Digamma" sheetId="10" r:id="rId8"/>
    <sheet name="Code Python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4" i="14" l="1"/>
  <c r="C43" i="14"/>
  <c r="C42" i="14"/>
  <c r="F41" i="14"/>
  <c r="C41" i="14"/>
  <c r="B41" i="14"/>
  <c r="E41" i="14" s="1"/>
  <c r="E37" i="14"/>
  <c r="B44" i="14" s="1"/>
  <c r="E36" i="14"/>
  <c r="B43" i="14" s="1"/>
  <c r="E35" i="14"/>
  <c r="B42" i="14" s="1"/>
  <c r="E34" i="14"/>
  <c r="H29" i="14"/>
  <c r="G29" i="14"/>
  <c r="C30" i="14"/>
  <c r="B30" i="14"/>
  <c r="H15" i="14"/>
  <c r="G15" i="14"/>
  <c r="C16" i="14"/>
  <c r="F37" i="14" s="1"/>
  <c r="B16" i="14"/>
  <c r="A29" i="13" a="1"/>
  <c r="E8" i="13"/>
  <c r="B10" i="13"/>
  <c r="B9" i="13"/>
  <c r="C15" i="12"/>
  <c r="B15" i="12"/>
  <c r="H17" i="12"/>
  <c r="H16" i="12"/>
  <c r="H15" i="12"/>
  <c r="H14" i="12"/>
  <c r="A19" i="12" a="1"/>
  <c r="A19" i="12" s="1"/>
  <c r="B10" i="12"/>
  <c r="F89" i="10"/>
  <c r="F88" i="10"/>
  <c r="F87" i="10"/>
  <c r="F86" i="10"/>
  <c r="I81" i="10"/>
  <c r="D81" i="10"/>
  <c r="I80" i="10"/>
  <c r="D80" i="10"/>
  <c r="I79" i="10"/>
  <c r="D79" i="10"/>
  <c r="I78" i="10"/>
  <c r="D78" i="10"/>
  <c r="I77" i="10"/>
  <c r="D77" i="10"/>
  <c r="I76" i="10"/>
  <c r="D76" i="10"/>
  <c r="I75" i="10"/>
  <c r="D75" i="10"/>
  <c r="I74" i="10"/>
  <c r="D74" i="10"/>
  <c r="I73" i="10"/>
  <c r="D73" i="10"/>
  <c r="I72" i="10"/>
  <c r="D72" i="10"/>
  <c r="I71" i="10"/>
  <c r="D71" i="10"/>
  <c r="I70" i="10"/>
  <c r="D70" i="10"/>
  <c r="I69" i="10"/>
  <c r="D69" i="10"/>
  <c r="I68" i="10"/>
  <c r="D68" i="10"/>
  <c r="I67" i="10"/>
  <c r="D67" i="10"/>
  <c r="I66" i="10"/>
  <c r="D66" i="10"/>
  <c r="I65" i="10"/>
  <c r="D65" i="10"/>
  <c r="I64" i="10"/>
  <c r="D64" i="10"/>
  <c r="H57" i="10"/>
  <c r="H56" i="10"/>
  <c r="H55" i="10"/>
  <c r="H54" i="10"/>
  <c r="I45" i="10"/>
  <c r="H45" i="10"/>
  <c r="I51" i="10"/>
  <c r="I50" i="10"/>
  <c r="I49" i="10"/>
  <c r="I48" i="10"/>
  <c r="G51" i="10"/>
  <c r="G50" i="10"/>
  <c r="G49" i="10"/>
  <c r="G48" i="10"/>
  <c r="E45" i="10" a="1"/>
  <c r="E45" i="10" s="1"/>
  <c r="D45" i="10" a="1"/>
  <c r="D45" i="10" s="1"/>
  <c r="I32" i="10" a="1"/>
  <c r="I32" i="10" s="1"/>
  <c r="H32" i="10" a="1"/>
  <c r="H32" i="10" s="1"/>
  <c r="E32" i="10"/>
  <c r="H51" i="10" s="1"/>
  <c r="D32" i="10"/>
  <c r="H25" i="9"/>
  <c r="H24" i="9"/>
  <c r="H23" i="9"/>
  <c r="H22" i="9"/>
  <c r="F8" i="10" s="1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E9" i="10" s="1"/>
  <c r="J32" i="1"/>
  <c r="M28" i="1"/>
  <c r="M27" i="1"/>
  <c r="M13" i="1"/>
  <c r="M14" i="1"/>
  <c r="F42" i="14" l="1"/>
  <c r="E42" i="14"/>
  <c r="F43" i="14"/>
  <c r="E43" i="14"/>
  <c r="F44" i="14"/>
  <c r="E44" i="14"/>
  <c r="F36" i="14"/>
  <c r="F34" i="14"/>
  <c r="F35" i="14"/>
  <c r="A29" i="13"/>
  <c r="B29" i="13" s="1" a="1"/>
  <c r="B29" i="13" s="1"/>
  <c r="D29" i="13" a="1"/>
  <c r="D29" i="13" s="1"/>
  <c r="D82" i="10"/>
  <c r="D88" i="10" s="1"/>
  <c r="E19" i="12" a="1"/>
  <c r="E19" i="12" s="1"/>
  <c r="I82" i="10"/>
  <c r="E88" i="10" s="1"/>
  <c r="B19" i="12" a="1"/>
  <c r="B19" i="12" s="1"/>
  <c r="B14" i="12" s="1"/>
  <c r="D15" i="12" s="1"/>
  <c r="D19" i="12" a="1"/>
  <c r="D19" i="12" s="1"/>
  <c r="H50" i="10"/>
  <c r="H48" i="10"/>
  <c r="H49" i="10"/>
  <c r="F9" i="10"/>
  <c r="G9" i="10" s="1" a="1"/>
  <c r="G9" i="10" s="1"/>
  <c r="E6" i="10"/>
  <c r="F6" i="10"/>
  <c r="E7" i="10"/>
  <c r="E8" i="10"/>
  <c r="G8" i="10" s="1" a="1"/>
  <c r="G8" i="10" s="1"/>
  <c r="B11" i="8"/>
  <c r="C11" i="8"/>
  <c r="F7" i="10"/>
  <c r="E29" i="13" l="1" a="1"/>
  <c r="C29" i="13" a="1"/>
  <c r="D87" i="10"/>
  <c r="D89" i="10"/>
  <c r="D86" i="10"/>
  <c r="E87" i="10"/>
  <c r="E89" i="10"/>
  <c r="E86" i="10"/>
  <c r="C19" i="12" a="1"/>
  <c r="C19" i="12" s="1"/>
  <c r="C14" i="12" s="1"/>
  <c r="J8" i="12" a="1"/>
  <c r="J8" i="12" s="1"/>
  <c r="J7" i="12" a="1"/>
  <c r="J7" i="12" s="1"/>
  <c r="J6" i="12" a="1"/>
  <c r="J6" i="12" s="1"/>
  <c r="J9" i="12" a="1"/>
  <c r="J9" i="12" s="1"/>
  <c r="G88" i="10"/>
  <c r="H88" i="10" s="1"/>
  <c r="D11" i="8"/>
  <c r="E11" i="8" s="1"/>
  <c r="F11" i="8" s="1" a="1"/>
  <c r="F11" i="8" s="1"/>
  <c r="G11" i="8" s="1" a="1"/>
  <c r="G11" i="8" s="1"/>
  <c r="F55" i="10"/>
  <c r="F57" i="10"/>
  <c r="F54" i="10"/>
  <c r="F56" i="10"/>
  <c r="G55" i="10"/>
  <c r="G57" i="10"/>
  <c r="G54" i="10"/>
  <c r="G56" i="10"/>
  <c r="G6" i="10" a="1"/>
  <c r="G6" i="10" s="1"/>
  <c r="G7" i="10" a="1"/>
  <c r="G7" i="10" s="1"/>
  <c r="E29" i="13" l="1"/>
  <c r="E7" i="13" s="1"/>
  <c r="C29" i="13"/>
  <c r="E6" i="13" s="1"/>
  <c r="I55" i="10"/>
  <c r="G87" i="10"/>
  <c r="H87" i="10" s="1"/>
  <c r="G86" i="10"/>
  <c r="I86" i="10" s="1" a="1"/>
  <c r="I86" i="10" s="1"/>
  <c r="J86" i="10" s="1"/>
  <c r="G89" i="10"/>
  <c r="I89" i="10" s="1" a="1"/>
  <c r="I89" i="10" s="1"/>
  <c r="J89" i="10" s="1"/>
  <c r="I56" i="10"/>
  <c r="I88" i="10" a="1"/>
  <c r="I88" i="10" s="1"/>
  <c r="J88" i="10" s="1"/>
  <c r="E15" i="12"/>
  <c r="K6" i="12"/>
  <c r="L6" i="12" s="1"/>
  <c r="M6" i="12" s="1" a="1"/>
  <c r="M6" i="12" s="1"/>
  <c r="K7" i="12"/>
  <c r="L7" i="12" s="1"/>
  <c r="M7" i="12" s="1" a="1"/>
  <c r="M7" i="12" s="1"/>
  <c r="K8" i="12"/>
  <c r="L8" i="12" s="1"/>
  <c r="M8" i="12" s="1" a="1"/>
  <c r="M8" i="12" s="1"/>
  <c r="K9" i="12"/>
  <c r="L9" i="12" s="1"/>
  <c r="M9" i="12" s="1" a="1"/>
  <c r="M9" i="12" s="1"/>
  <c r="I54" i="10"/>
  <c r="I57" i="10"/>
  <c r="J57" i="10"/>
  <c r="J56" i="10"/>
  <c r="J54" i="10"/>
  <c r="J55" i="10"/>
  <c r="D15" i="13" l="1" a="1"/>
  <c r="D15" i="13" s="1"/>
  <c r="E15" i="13" s="1"/>
  <c r="D18" i="13" a="1"/>
  <c r="D18" i="13" s="1"/>
  <c r="E18" i="13" s="1"/>
  <c r="D17" i="13" a="1"/>
  <c r="D17" i="13" s="1"/>
  <c r="E17" i="13" s="1"/>
  <c r="D16" i="13" a="1"/>
  <c r="D16" i="13" s="1"/>
  <c r="E16" i="13" s="1"/>
  <c r="I87" i="10" a="1"/>
  <c r="I87" i="10" s="1"/>
  <c r="J87" i="10" s="1"/>
  <c r="H89" i="10"/>
  <c r="H86" i="10"/>
  <c r="H10" i="12"/>
  <c r="I10" i="12" s="1"/>
  <c r="F17" i="13" l="1"/>
  <c r="G17" i="13" s="1" a="1"/>
  <c r="G17" i="13" s="1"/>
  <c r="F18" i="13"/>
  <c r="G18" i="13" s="1" a="1"/>
  <c r="G18" i="13" s="1"/>
  <c r="F16" i="13"/>
  <c r="G16" i="13" s="1" a="1"/>
  <c r="G16" i="13" s="1"/>
  <c r="F15" i="13"/>
  <c r="G15" i="13" s="1" a="1"/>
  <c r="G15" i="13" s="1"/>
  <c r="H18" i="12"/>
  <c r="E9" i="13" l="1"/>
  <c r="E10" i="13" s="1"/>
  <c r="E11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<sst xmlns="http://schemas.openxmlformats.org/spreadsheetml/2006/main" count="846" uniqueCount="411">
  <si>
    <t>1/k</t>
  </si>
  <si>
    <t>Table servant a reconstruire le rapport non typique</t>
  </si>
  <si>
    <t>t^1+</t>
  </si>
  <si>
    <t>t^2+</t>
  </si>
  <si>
    <t>t^3+</t>
  </si>
  <si>
    <t>t^4+</t>
  </si>
  <si>
    <t>t^5+</t>
  </si>
  <si>
    <t>t^6+</t>
  </si>
  <si>
    <t>t^7+</t>
  </si>
  <si>
    <t>t^8+</t>
  </si>
  <si>
    <t>(t^9-t^7)+</t>
  </si>
  <si>
    <t>(t^10-t^8)</t>
  </si>
  <si>
    <t>Somme suite A</t>
  </si>
  <si>
    <t>t^9+</t>
  </si>
  <si>
    <t>(t^10-t^8)+</t>
  </si>
  <si>
    <t>(t^11-t^9)</t>
  </si>
  <si>
    <t>Somme suite B</t>
  </si>
  <si>
    <t>Déteminer les suite A et B pour 9 termes</t>
  </si>
  <si>
    <t>(m13-m27)/t^8=</t>
  </si>
  <si>
    <t>coefficient A</t>
  </si>
  <si>
    <t>(m14-m28)/t^8</t>
  </si>
  <si>
    <t>coefficient B</t>
  </si>
  <si>
    <t>Forme des équation générale ((coefficient A/x)*(k^n)-reste</t>
  </si>
  <si>
    <t>((coefficient B)/x)*(k^n)-reste</t>
  </si>
  <si>
    <t>somme suite B</t>
  </si>
  <si>
    <t>somme suite A</t>
  </si>
  <si>
    <t>Système convolutif — rapports non typiques</t>
  </si>
  <si>
    <t>Cadre paramétrique validé sur le rapport 1/3; les autres rapports exigent leurs propres termes et paramètres avant une preuve de couverture universelle.</t>
  </si>
  <si>
    <t>CONTENU</t>
  </si>
  <si>
    <t>Exemple 1-3</t>
  </si>
  <si>
    <t>Feuille originale conservée, avec les suites A et B fournies.</t>
  </si>
  <si>
    <t>Parametres</t>
  </si>
  <si>
    <t>Règle active par rapport : k, n, exposant de reconstruction et Digamma.</t>
  </si>
  <si>
    <t>Convolution</t>
  </si>
  <si>
    <t>Termes formels signés évalués numériquement à partir de k.</t>
  </si>
  <si>
    <t>Tests Digamma</t>
  </si>
  <si>
    <t>Quatre possibilités : positions 7 ou 8, signes − ou +.</t>
  </si>
  <si>
    <t>Rapport</t>
  </si>
  <si>
    <t>Sommes</t>
  </si>
  <si>
    <t>A = 79 824; B = 238 746</t>
  </si>
  <si>
    <t>Digamma</t>
  </si>
  <si>
    <t>position 8, signe −</t>
  </si>
  <si>
    <t>Premier reconstruit</t>
  </si>
  <si>
    <t>227, rang 49</t>
  </si>
  <si>
    <t>Paramètres des règles</t>
  </si>
  <si>
    <t>Une ligne par rapport 1/k. Aucun autre rapport n’est inventé : ajoutez ses termes dans Convolution puis ses paramètres ici.</t>
  </si>
  <si>
    <t>CATALOGUE DES RÈGLES</t>
  </si>
  <si>
    <t>k</t>
  </si>
  <si>
    <t>n</t>
  </si>
  <si>
    <t>Exp reconstruction</t>
  </si>
  <si>
    <t>Position Digamma</t>
  </si>
  <si>
    <t>Signe Digamma</t>
  </si>
  <si>
    <t>Statut</t>
  </si>
  <si>
    <t>Validé par exemple fourni</t>
  </si>
  <si>
    <t>SORTIE DE LA RÈGLE SÉLECTIONNÉE</t>
  </si>
  <si>
    <t>Somme A</t>
  </si>
  <si>
    <t>Somme B</t>
  </si>
  <si>
    <t>A ajustée</t>
  </si>
  <si>
    <t>P reconstruit</t>
  </si>
  <si>
    <t>Premier?</t>
  </si>
  <si>
    <t>Rang premier</t>
  </si>
  <si>
    <t>Obligation universelle</t>
  </si>
  <si>
    <t>Chaque premier cible doit être produit une fois par le catalogue complet.</t>
  </si>
  <si>
    <t>Table de convolution formelle</t>
  </si>
  <si>
    <t>Chaque terme vaut c₁·k^e₁ + c₂·k^e₂. Cette représentation encode les additions et soustractions sans figer k.</t>
  </si>
  <si>
    <t>TERMES DES SUITES</t>
  </si>
  <si>
    <t>Suite</t>
  </si>
  <si>
    <t>Ordre</t>
  </si>
  <si>
    <t>Coeff 1</t>
  </si>
  <si>
    <t>Exposant 1</t>
  </si>
  <si>
    <t>Coeff 2</t>
  </si>
  <si>
    <t>Exposant 2</t>
  </si>
  <si>
    <t>Valeur</t>
  </si>
  <si>
    <t>Expression formelle</t>
  </si>
  <si>
    <t>A</t>
  </si>
  <si>
    <t>k^1</t>
  </si>
  <si>
    <t>k^2</t>
  </si>
  <si>
    <t>k^3</t>
  </si>
  <si>
    <t>k^4</t>
  </si>
  <si>
    <t>k^5</t>
  </si>
  <si>
    <t>k^6</t>
  </si>
  <si>
    <t>k^7</t>
  </si>
  <si>
    <t>k^8</t>
  </si>
  <si>
    <t>k^9 - k^7</t>
  </si>
  <si>
    <t>k^10 - k^8</t>
  </si>
  <si>
    <t>B</t>
  </si>
  <si>
    <t>k^9</t>
  </si>
  <si>
    <t>k^11 - k^9</t>
  </si>
  <si>
    <t>Tests des quatre Digamma</t>
  </si>
  <si>
    <t>Le candidat est A ajustée = Somme A + signe·k^position; puis P = (Somme B − A ajustée)/k^exp_reconstruction.</t>
  </si>
  <si>
    <t>CANDIDATS POUR 1/3</t>
  </si>
  <si>
    <t>Position</t>
  </si>
  <si>
    <t>Signe</t>
  </si>
  <si>
    <t>Rang</t>
  </si>
  <si>
    <t>Lecture</t>
  </si>
  <si>
    <t>Seule la combinaison position 8 / signe − produit 227, qui est premier et occupe le rang 49.</t>
  </si>
  <si>
    <t>Les trois autres candidats sont composés : 221, 215 et 209.</t>
  </si>
  <si>
    <t>Code Python du moteur convolutif</t>
  </si>
  <si>
    <t>Copiez la colonne Code dans un fichier .py. Le moteur lit les tables Excel, reconstruit P, teste la primalité et mesure les premiers encore non couverts.</t>
  </si>
  <si>
    <t>CODE</t>
  </si>
  <si>
    <t>Ligne</t>
  </si>
  <si>
    <t>Code</t>
  </si>
  <si>
    <t>from dataclasses import dataclass</t>
  </si>
  <si>
    <t>from math import isqrt</t>
  </si>
  <si>
    <t>@dataclass(frozen=True)</t>
  </si>
  <si>
    <t>def is_prime(p):</t>
  </si>
  <si>
    <t xml:space="preserve">    if p % 2 == 0: return p == 2</t>
  </si>
  <si>
    <t>if __name__ == '__main__':</t>
  </si>
  <si>
    <t>1/3</t>
  </si>
  <si>
    <t>Terme</t>
  </si>
  <si>
    <t>Expression</t>
  </si>
  <si>
    <t>t_a^1</t>
  </si>
  <si>
    <t>t_a^2</t>
  </si>
  <si>
    <t>t_a^3</t>
  </si>
  <si>
    <t>t_a^4</t>
  </si>
  <si>
    <t>t_a^5</t>
  </si>
  <si>
    <t>t_a^6</t>
  </si>
  <si>
    <t>t_a^7</t>
  </si>
  <si>
    <t>t_a^8</t>
  </si>
  <si>
    <t>t_a^9 - t_a^7</t>
  </si>
  <si>
    <t>t_a^9 − t_a^7</t>
  </si>
  <si>
    <t>t_a^10 - t_a^8</t>
  </si>
  <si>
    <t>t_a^10 − t_a^8</t>
  </si>
  <si>
    <t>Somme</t>
  </si>
  <si>
    <t>t_b^1</t>
  </si>
  <si>
    <t>t_b^2</t>
  </si>
  <si>
    <t>t_b^3</t>
  </si>
  <si>
    <t>t_b^4</t>
  </si>
  <si>
    <t>t_b^5</t>
  </si>
  <si>
    <t>t_b^7</t>
  </si>
  <si>
    <t>t_b^8</t>
  </si>
  <si>
    <t>t_b^9</t>
  </si>
  <si>
    <t>t_b^10 - t_b^8</t>
  </si>
  <si>
    <t>t_b^11 - t_b^9</t>
  </si>
  <si>
    <t>t_a^8 - t_a^6</t>
  </si>
  <si>
    <t>t_a^8 − t_a^6</t>
  </si>
  <si>
    <t>Somme_A9</t>
  </si>
  <si>
    <t>Somme_Suite_A_9</t>
  </si>
  <si>
    <t>(t_b^10 − t_b^8)</t>
  </si>
  <si>
    <t>(t_b^11 − t_b^9)</t>
  </si>
  <si>
    <t>t_b^9 - t_b^7</t>
  </si>
  <si>
    <t>(t_b^9 − t_b^7)</t>
  </si>
  <si>
    <t>Somme_B9</t>
  </si>
  <si>
    <t>Somme suite B₉</t>
  </si>
  <si>
    <t>Option</t>
  </si>
  <si>
    <t>Terme Digamma</t>
  </si>
  <si>
    <t>Opération</t>
  </si>
  <si>
    <t>+</t>
  </si>
  <si>
    <t>Digamma calculé</t>
  </si>
  <si>
    <t>−</t>
  </si>
  <si>
    <t>Forme concise</t>
  </si>
  <si>
    <t>Développement complet</t>
  </si>
  <si>
    <t>Digamma calculé (A₁₀ ± k^p)</t>
  </si>
  <si>
    <t>Somme B₁₀</t>
  </si>
  <si>
    <t>Zêta k^6</t>
  </si>
  <si>
    <t>Formule appliquée</t>
  </si>
  <si>
    <t>ESSAI CONVOLUTIF — RAPPORT 1/3, n = 18</t>
  </si>
  <si>
    <t>Construction Isabelle/HOL : progression simple jusqu’à n−2, deux termes terminaux Savard et saut Zêta à la position 6 de B.</t>
  </si>
  <si>
    <t>Position A</t>
  </si>
  <si>
    <t>Règle</t>
  </si>
  <si>
    <t>Position B</t>
  </si>
  <si>
    <t>progression simple</t>
  </si>
  <si>
    <t>k^10</t>
  </si>
  <si>
    <t>k^11</t>
  </si>
  <si>
    <t>k^12</t>
  </si>
  <si>
    <t>k^13</t>
  </si>
  <si>
    <t>k^14</t>
  </si>
  <si>
    <t>k^15</t>
  </si>
  <si>
    <t>k^16</t>
  </si>
  <si>
    <t>k^17 − k^15</t>
  </si>
  <si>
    <t>avant-dernier Savard</t>
  </si>
  <si>
    <t>k^18 − k^16</t>
  </si>
  <si>
    <t>dernier Savard</t>
  </si>
  <si>
    <t>progression décalée</t>
  </si>
  <si>
    <t>k^7 (saut Zêta)</t>
  </si>
  <si>
    <t>substitution position 6</t>
  </si>
  <si>
    <t>k^17</t>
  </si>
  <si>
    <t>k^19 − k^17</t>
  </si>
  <si>
    <t>Somme A₁₈</t>
  </si>
  <si>
    <t>Somme B₁₈</t>
  </si>
  <si>
    <t>Digamma A₁₈ ajusté</t>
  </si>
  <si>
    <t>Zêta 3^6</t>
  </si>
  <si>
    <t>Entier?</t>
  </si>
  <si>
    <t>Conclusion</t>
  </si>
  <si>
    <t>CONSTAT</t>
  </si>
  <si>
    <t>Les quatre options donnent des quotients entiers. Les options position 8 produisent deux nombres premiers consécutifs : 1 436 849 et 1 436 867.</t>
  </si>
  <si>
    <t>La règle Digamma fournie ne sélectionne donc pas encore une solution unique pour n=18; un critère supplémentaire est requis.</t>
  </si>
  <si>
    <t>CONSTANTES DES SOMMES FERMÉES</t>
  </si>
  <si>
    <t>αA</t>
  </si>
  <si>
    <t>αB</t>
  </si>
  <si>
    <t>offset A</t>
  </si>
  <si>
    <t>offset B</t>
  </si>
  <si>
    <t>Portée</t>
  </si>
  <si>
    <t>Fourni</t>
  </si>
  <si>
    <t>Tout autre 1/k</t>
  </si>
  <si>
    <t>À compléter</t>
  </si>
  <si>
    <t>RÈGLES ACTIVES</t>
  </si>
  <si>
    <t>n ≤ 7</t>
  </si>
  <si>
    <t>XIII simple OU XII terminal</t>
  </si>
  <si>
    <t>A=B</t>
  </si>
  <si>
    <t>Choix utilisateur</t>
  </si>
  <si>
    <t>n ≥ 8</t>
  </si>
  <si>
    <t>A terminale Savard</t>
  </si>
  <si>
    <t>B avec saut Zêta i=6</t>
  </si>
  <si>
    <t>Digamma: ±A(7), ±A(8)</t>
  </si>
  <si>
    <t>Dénominateur k^6</t>
  </si>
  <si>
    <t>Sélection par essai-erreur</t>
  </si>
  <si>
    <t>Moteur convolutif universel — rapports non typiques</t>
  </si>
  <si>
    <t>Construction pour tout k≥2 et n≥1. Les constantes des sommes fermées doivent être renseignées par rapport; le Digamma est testé selon quatre possibilités.</t>
  </si>
  <si>
    <t>ENTRÉES</t>
  </si>
  <si>
    <t>Paramètre</t>
  </si>
  <si>
    <t>Modèle n≤7</t>
  </si>
  <si>
    <t>XIII simple</t>
  </si>
  <si>
    <t>Régime</t>
  </si>
  <si>
    <t>Positif</t>
  </si>
  <si>
    <t>a₁</t>
  </si>
  <si>
    <t>Entier ≥2</t>
  </si>
  <si>
    <t>Entier ≥1</t>
  </si>
  <si>
    <t>XIII simple ou XII terminal</t>
  </si>
  <si>
    <t>Positif ou Négatif</t>
  </si>
  <si>
    <t>Valeur initiale</t>
  </si>
  <si>
    <t>SOMMES ET CONTRÔLES</t>
  </si>
  <si>
    <t>Mesure</t>
  </si>
  <si>
    <t>Suite A</t>
  </si>
  <si>
    <t>Suite B</t>
  </si>
  <si>
    <t>Écart A</t>
  </si>
  <si>
    <t>Écart B</t>
  </si>
  <si>
    <t>Somme construite</t>
  </si>
  <si>
    <t>Somme fermée</t>
  </si>
  <si>
    <t>CONSTRUCTION TERME À TERME</t>
  </si>
  <si>
    <t>Terme A</t>
  </si>
  <si>
    <t>Terme B</t>
  </si>
  <si>
    <t>Règle A</t>
  </si>
  <si>
    <t>Règle B</t>
  </si>
  <si>
    <t>RECONSTRUCTION PAR ESSAI-ERREUR</t>
  </si>
  <si>
    <t>Candidats premiers</t>
  </si>
  <si>
    <t>CONTRÔLE DU RAPPORT ET DE LA PORTÉE</t>
  </si>
  <si>
    <t>Contrôle</t>
  </si>
  <si>
    <t>Résultat</t>
  </si>
  <si>
    <t>Rapport demandé</t>
  </si>
  <si>
    <t>Constantes disponibles?</t>
  </si>
  <si>
    <t>Domaine n</t>
  </si>
  <si>
    <t>Zêta</t>
  </si>
  <si>
    <t>État du moteur</t>
  </si>
  <si>
    <t>LIMITES FORMELLES</t>
  </si>
  <si>
    <t>Le moteur construit A et B pour tout k≥2 et n≥1. Les sommes fermées ne sont calculables que si αA, αB et les offsets du rapport sont connus. Les quatre Digamma sont testés sans supposer qu’un résultat premier est nécessairement unique.</t>
  </si>
  <si>
    <t>Moteur Universel</t>
  </si>
  <si>
    <t>Entrées k/n, construction A/B, sommes fermées et quatre essais Digamma.</t>
  </si>
  <si>
    <t>class Constants:</t>
  </si>
  <si>
    <t xml:space="preserve">    alpha_a: float</t>
  </si>
  <si>
    <t xml:space="preserve">    alpha_b: float</t>
  </si>
  <si>
    <t xml:space="preserve">    offset_a: float</t>
  </si>
  <si>
    <t xml:space="preserve">    offset_b: float</t>
  </si>
  <si>
    <t>CONSTANTS = {</t>
  </si>
  <si>
    <t xml:space="preserve">    2: Constants(3.25, 6.5, 2, 66),</t>
  </si>
  <si>
    <t xml:space="preserve">    3: Constants(73/9, 219/9, 1.5, 487*1.5),</t>
  </si>
  <si>
    <t xml:space="preserve">    4: Constants(241/16, 964/16, 4/3, 3073*(4/3)),</t>
  </si>
  <si>
    <t>}</t>
  </si>
  <si>
    <t>def term_a(k, n, i, a1=None, small_model='XIII'):</t>
  </si>
  <si>
    <t xml:space="preserve">    a1 = k if a1 is None else a1</t>
  </si>
  <si>
    <t xml:space="preserve">    r = k</t>
  </si>
  <si>
    <t xml:space="preserve">    if not (k &gt;= 2 and n &gt;= 1 and 1 &lt;= i &lt;= n): return 0</t>
  </si>
  <si>
    <t xml:space="preserve">    if n &lt;= 7 and small_model == 'XIII': return a1 * r**(i-1)</t>
  </si>
  <si>
    <t xml:space="preserve">    if n &lt;= 7:</t>
  </si>
  <si>
    <t xml:space="preserve">        if i == 1: return a1</t>
  </si>
  <si>
    <t xml:space="preserve">        if n == 2 and i == 2: return a1 * (r - 1/r)</t>
  </si>
  <si>
    <t xml:space="preserve">        if n &gt;= 3 and i &lt;= n-2: return a1 * r**(i-1)</t>
  </si>
  <si>
    <t xml:space="preserve">        if i == n-1: return a1 * r**(n-3) * (r - 1/r)</t>
  </si>
  <si>
    <t xml:space="preserve">        return a1 * r**(n-3) * (r - 1/r) * r</t>
  </si>
  <si>
    <t xml:space="preserve">    if i == 1: return a1</t>
  </si>
  <si>
    <t xml:space="preserve">    if i &lt;= n-2: return a1 * r**(i-1)</t>
  </si>
  <si>
    <t xml:space="preserve">    if i == n-1: return (r - 1/r) * a1 * r**(n-3)</t>
  </si>
  <si>
    <t xml:space="preserve">    return (r - 1/r) * a1 * r**(n-2)</t>
  </si>
  <si>
    <t>def term_b(k, n, i, a1=None, small_model='XIII'):</t>
  </si>
  <si>
    <t xml:space="preserve">    if n &lt;= 7: return term_a(k, n, i, a1, small_model)</t>
  </si>
  <si>
    <t xml:space="preserve">    if i &lt;= 5: return a1 * r**(i-1)</t>
  </si>
  <si>
    <t xml:space="preserve">    if i == 6: return a1 * r**6</t>
  </si>
  <si>
    <t xml:space="preserve">    if i &lt;= n-2: return a1 * r**i</t>
  </si>
  <si>
    <t xml:space="preserve">    if i == n-1: return (r - 1/r) * a1 * r**(n-2)</t>
  </si>
  <si>
    <t xml:space="preserve">    if i == n: return (r - 1/r) * a1 * r**(n-1)</t>
  </si>
  <si>
    <t xml:space="preserve">    return 0</t>
  </si>
  <si>
    <t>def build(k, n, a1=None, small_model='XIII'):</t>
  </si>
  <si>
    <t xml:space="preserve">    A = [term_a(k,n,i,a1,small_model) for i in range(1,n+1)]</t>
  </si>
  <si>
    <t xml:space="preserve">    B = [term_b(k,n,i,a1,small_model) for i in range(1,n+1)]</t>
  </si>
  <si>
    <t xml:space="preserve">    return A, B</t>
  </si>
  <si>
    <t>def closed_sums(k, n, regime='positive'):</t>
  </si>
  <si>
    <t xml:space="preserve">    c = CONSTANTS.get(k)</t>
  </si>
  <si>
    <t xml:space="preserve">    if c is None: raise KeyError(f'Constantes manquantes pour 1/{k}')</t>
  </si>
  <si>
    <t xml:space="preserve">    if regime == 'positive': return (c.alpha_a/2*k**n-c.offset_a, c.alpha_b/2*k**n-c.offset_b)</t>
  </si>
  <si>
    <t xml:space="preserve">    return (c.alpha_a/k**n-c.offset_a, c.alpha_b/k**n-c.offset_b)</t>
  </si>
  <si>
    <t xml:space="preserve">    if int(p) != p or p &lt; 2: return False</t>
  </si>
  <si>
    <t xml:space="preserve">    p = int(p)</t>
  </si>
  <si>
    <t xml:space="preserve">    return all(p % d for d in range(3,isqrt(p)+1,2))</t>
  </si>
  <si>
    <t>def digamma_trials(k, n, a1=None, small_model='XIII'):</t>
  </si>
  <si>
    <t xml:space="preserve">    A,B = build(k,n,a1,small_model)</t>
  </si>
  <si>
    <t xml:space="preserve">    if n &lt; 8: return []</t>
  </si>
  <si>
    <t xml:space="preserve">    out=[]</t>
  </si>
  <si>
    <t xml:space="preserve">    for pos in (7,8):</t>
  </si>
  <si>
    <t xml:space="preserve">        for sign in (1,-1):</t>
  </si>
  <si>
    <t xml:space="preserve">            adjusted=sum(A)+sign*A[pos-1]</t>
  </si>
  <si>
    <t xml:space="preserve">            p=(sum(B)-adjusted)/(k**6)</t>
  </si>
  <si>
    <t xml:space="preserve">            out.append({'position':pos,'sign':sign,'digamma':adjusted,'P':p,'integer':int(p)==p,'prime':is_prime(p)})</t>
  </si>
  <si>
    <t xml:space="preserve">    return out</t>
  </si>
  <si>
    <t>def evaluate(k,n,a1=None,small_model='XIII'):</t>
  </si>
  <si>
    <t xml:space="preserve">    A,B=build(k,n,a1,small_model)</t>
  </si>
  <si>
    <t xml:space="preserve">    trials=digamma_trials(k,n,a1,small_model)</t>
  </si>
  <si>
    <t xml:space="preserve">    return {'A':A,'B':B,'sum_A':sum(A),'sum_B':sum(B),'trials':trials,'prime_candidates':[x for x in trials if x['prime']]}</t>
  </si>
  <si>
    <t xml:space="preserve">    r=evaluate(3,10)</t>
  </si>
  <si>
    <t xml:space="preserve">    assert r['sum_A']==79824 and r['sum_B']==238746</t>
  </si>
  <si>
    <t xml:space="preserve">    assert [x['P'] for x in r['prime_candidates']]==[227]</t>
  </si>
  <si>
    <t xml:space="preserve">    print(r)</t>
  </si>
  <si>
    <t>Modèle formel universel — rapport 1/k</t>
  </si>
  <si>
    <t>Aucune valeur numérique par défaut : saisissez k et n, puis le modèle substitue ces valeurs aux formes universelles A(n,i), B(n,i) et teste les quatre Digamma.</t>
  </si>
  <si>
    <t>VARIABLES À SUBSTITUER</t>
  </si>
  <si>
    <t>Variable</t>
  </si>
  <si>
    <t>Définition</t>
  </si>
  <si>
    <t>Dénominateur du rapport 1/k</t>
  </si>
  <si>
    <t>Nombre de termes</t>
  </si>
  <si>
    <t>a₁ := k</t>
  </si>
  <si>
    <t>r</t>
  </si>
  <si>
    <t>r := k</t>
  </si>
  <si>
    <t>SORTIES GÉNÉRALES</t>
  </si>
  <si>
    <t>Somme A(n)</t>
  </si>
  <si>
    <t>Somme B(n)</t>
  </si>
  <si>
    <t>Premiers candidats</t>
  </si>
  <si>
    <t>État</t>
  </si>
  <si>
    <t>Certitude</t>
  </si>
  <si>
    <t>QUATRE POSSIBILITÉS DU DIGAMMA</t>
  </si>
  <si>
    <t>DÉFINITIONS FORMELLES APPLIQUÉES</t>
  </si>
  <si>
    <t>n ≤ 7, modèle XIII : A(n,i)=a₁·r^(i−1) et B(n,i)=A(n,i).</t>
  </si>
  <si>
    <t>n ≤ 7, modèle XII : cas terminaux avec le facteur (r−1/r); B(n,i)=A(n,i).</t>
  </si>
  <si>
    <t>n ≥ 8 : A suit la progression jusqu’à n−2, puis les deux termes terminaux Savard.</t>
  </si>
  <si>
    <t>n ≥ 8 : B insère a₁·r^6 à i=6, décale la progression et applique ses termes terminaux.</t>
  </si>
  <si>
    <t>Reconstruction : P=[Somme B(n)−(Somme A(n)±A(n,7 ou 8))]/k^6.</t>
  </si>
  <si>
    <t>Position i</t>
  </si>
  <si>
    <t>Forme A(n,i)</t>
  </si>
  <si>
    <t>Valeur substituée A</t>
  </si>
  <si>
    <t>Forme B(n,i)</t>
  </si>
  <si>
    <t>Valeur substituée B</t>
  </si>
  <si>
    <t>MODE D’EMPLOI ET PORTÉE</t>
  </si>
  <si>
    <t>1. Saisir k et n dans les cellules jaunes. 2. Choisir le modèle pour n≤7. 3. Lire les suites et les quatre candidats. Le modèle affirme un P unique seulement lorsqu’une seule option est entière et première. Il ne constitue pas une preuve que chaque rapport et chaque n produisent exactement un premier.</t>
  </si>
  <si>
    <t>Modèle Formel</t>
  </si>
  <si>
    <t>Moteur vierge universel : saisie de k et n, substitution et quatre candidats Digamma.</t>
  </si>
  <si>
    <t>Démonstration formelle universelle — tout rapport 1/k</t>
  </si>
  <si>
    <t>Même démonstration que Tests Digamma, lignes 21 à 57, sans substitution numérique : k demeure une variable entière positive représentant le dénominateur de 1/k.</t>
  </si>
  <si>
    <t>SUITES A — 10 ET 9 TERMES</t>
  </si>
  <si>
    <t>Terme A₁₀</t>
  </si>
  <si>
    <t>Terme A₉</t>
  </si>
  <si>
    <t>progression</t>
  </si>
  <si>
    <t>k^9 − k^7</t>
  </si>
  <si>
    <t>k^10 − k^8</t>
  </si>
  <si>
    <t>k^8 − k^6</t>
  </si>
  <si>
    <t>SUITES B — 10 ET 9 TERMES AVEC SAUT ZÊTA</t>
  </si>
  <si>
    <t>Terme B₁₀</t>
  </si>
  <si>
    <t>Terme B₉</t>
  </si>
  <si>
    <t>saut Zêta</t>
  </si>
  <si>
    <t>k^11 − k^9</t>
  </si>
  <si>
    <t>Développement universel</t>
  </si>
  <si>
    <t>À tester</t>
  </si>
  <si>
    <t>RECONSTRUCTION FORMELLE DES QUATRE CANDIDATS P</t>
  </si>
  <si>
    <t>Équation formelle</t>
  </si>
  <si>
    <t>Candidat P</t>
  </si>
  <si>
    <t>Condition entière</t>
  </si>
  <si>
    <t>Condition première</t>
  </si>
  <si>
    <t>Décision</t>
  </si>
  <si>
    <t>P ∈ ℤ</t>
  </si>
  <si>
    <t>P premier</t>
  </si>
  <si>
    <t>Essai-erreur</t>
  </si>
  <si>
    <t>PROCÉDURE DE SUBSTITUTION POUR UN UTILISATEUR</t>
  </si>
  <si>
    <t>1. Choisir un entier positif k et former le rapport 1/k.</t>
  </si>
  <si>
    <t>2. Pour le départ n=10, remplacer chaque symbole k des suites A₁₀ et B₁₀ par cet entier.</t>
  </si>
  <si>
    <t>3. Calculer Somme_A10 et Somme_B10, puis Zêta=k^6.</t>
  </si>
  <si>
    <t>4. Construire les quatre Digamma : Somme_A10 ± k^7 et Somme_A10 ± k^8.</t>
  </si>
  <si>
    <t>5. Calculer les quatre Pj=[Somme_B10−Digamma_j]/k^6; conserver tous les candidats entiers et premiers.</t>
  </si>
  <si>
    <t>6. Si un seul candidat est premier, la méthode le sélectionne; s’il y en a plusieurs, les règles actuelles ne suffisent pas à garantir l’unicité.</t>
  </si>
  <si>
    <t>FORME UNIVERSELLE POUR n ≥ 8</t>
  </si>
  <si>
    <t>A(n,i)=a₁ si i=1; a₁·r^(i−1) si 2≤i≤n−2; (r−1/r)·a₁·r^(n−3) si i=n−1; (r−1/r)·a₁·r^(n−2) si i=n.</t>
  </si>
  <si>
    <t>B(n,i)=a₁ si i=1; a₁·r^(i−1) si 2≤i≤5; a₁·r^6 si i=6; a₁·r^i si 7≤i≤n−2; termes terminaux Savard aux positions n−1 et n.</t>
  </si>
  <si>
    <t>Pour tout rapport 1/k dans ce modèle : a₁:=k et r:=k. Les quatre candidats restent P=[ΣB−(ΣA±A(7 ou 8))]/k^6.</t>
  </si>
  <si>
    <t>Démonstration Formelle</t>
  </si>
  <si>
    <t>Preuve symbolique visuelle A₁₀/A₉, B₁₀/B₉, Digamma et reconstruction pour tout 1/k.</t>
  </si>
  <si>
    <t>=IF(B6="","","1/"&amp;B6)</t>
  </si>
  <si>
    <t>VALIDATION EXACTE — SUBSTITUTION k=12, n=15</t>
  </si>
  <si>
    <t>Valeur exacte</t>
  </si>
  <si>
    <t>P exact</t>
  </si>
  <si>
    <t>Somme A₁₅</t>
  </si>
  <si>
    <t>Somme B₁₅</t>
  </si>
  <si>
    <t>Zêta 12^6</t>
  </si>
  <si>
    <t>+A(7)</t>
  </si>
  <si>
    <t>Oui</t>
  </si>
  <si>
    <t>Non</t>
  </si>
  <si>
    <t>Composé : divisible par 7</t>
  </si>
  <si>
    <t>−A(7)</t>
  </si>
  <si>
    <t>Unique candidat premier</t>
  </si>
  <si>
    <t>+A(8)</t>
  </si>
  <si>
    <t>Composé : divisible par 461</t>
  </si>
  <si>
    <t>−A(8)</t>
  </si>
  <si>
    <t>Composé : divisible par 5</t>
  </si>
  <si>
    <t>P = [200301007121671260 − 16691750557889628] / 2985984 = 61490368523</t>
  </si>
  <si>
    <t>Les grandes sommes sont conservées comme texte exact, car Excel arrondit les entiers dépassant 15 chiffres. Le test de primalité a été effectué en arithmétique entière exacte.</t>
  </si>
  <si>
    <t>16691750593721436</t>
  </si>
  <si>
    <t>200301007121671260</t>
  </si>
  <si>
    <t>2985984</t>
  </si>
  <si>
    <t>16691750629553244</t>
  </si>
  <si>
    <t>16691750557889628</t>
  </si>
  <si>
    <t>16691751023703132</t>
  </si>
  <si>
    <t>16691750163739740</t>
  </si>
  <si>
    <t>61490368499</t>
  </si>
  <si>
    <t>61490368523</t>
  </si>
  <si>
    <t>61490368367</t>
  </si>
  <si>
    <t>61490368655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</si>
</sst>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&quot;ᵉ&quot;"/>
    <numFmt numFmtId="168" formatCode="0.############"/>
    <numFmt numFmtId="169" formatCode="#,##0.############"/>
  </numFmts>
  <fonts count="2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2F75B5"/>
      <name val="Aptos Narrow"/>
      <family val="2"/>
      <scheme val="minor"/>
    </font>
    <font>
      <sz val="11"/>
      <color rgb="FF404040"/>
      <name val="Aptos Narrow"/>
      <family val="2"/>
      <scheme val="minor"/>
    </font>
    <font>
      <sz val="9"/>
      <color theme="1"/>
      <name val="Consolas"/>
      <family val="3"/>
    </font>
    <font>
      <b/>
      <sz val="11"/>
      <color rgb="FF17365D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u/>
      <sz val="11"/>
      <color rgb="FF17365D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1"/>
      <color rgb="FF00610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2"/>
      <color rgb="FF2F75B5"/>
      <name val="Aptos Narrow"/>
      <family val="2"/>
      <scheme val="minor"/>
    </font>
    <font>
      <b/>
      <sz val="13"/>
      <color rgb="FFFFFFFF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0" xfId="0"/>
    <xf numFmtId="0" fontId="4" fillId="2" borderId="0" xfId="0" applyFont="1" applyFill="1"/>
    <xf numFmtId="0" fontId="6" fillId="0" borderId="0" xfId="0" applyFont="1" applyAlignment="1">
      <alignment wrapText="1"/>
    </xf>
    <xf numFmtId="0" fontId="3" fillId="3" borderId="0" xfId="0" applyFont="1" applyFill="1"/>
    <xf numFmtId="0" fontId="7" fillId="3" borderId="0" xfId="0" applyFont="1" applyFill="1"/>
    <xf numFmtId="0" fontId="1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16" fontId="0" fillId="0" borderId="0" xfId="0" applyNumberFormat="1"/>
    <xf numFmtId="0" fontId="1" fillId="4" borderId="0" xfId="0" applyFont="1" applyFill="1"/>
    <xf numFmtId="0" fontId="0" fillId="4" borderId="0" xfId="0" applyFill="1"/>
    <xf numFmtId="1" fontId="0" fillId="0" borderId="0" xfId="0" applyNumberFormat="1"/>
    <xf numFmtId="3" fontId="0" fillId="0" borderId="0" xfId="0" applyNumberFormat="1"/>
    <xf numFmtId="3" fontId="0" fillId="4" borderId="0" xfId="0" applyNumberFormat="1" applyFill="1"/>
    <xf numFmtId="1" fontId="0" fillId="4" borderId="0" xfId="0" applyNumberFormat="1" applyFill="1"/>
    <xf numFmtId="0" fontId="0" fillId="0" borderId="0" xfId="0" applyAlignment="1">
      <alignment wrapText="1"/>
    </xf>
    <xf numFmtId="0" fontId="10" fillId="0" borderId="0" xfId="0" applyFont="1"/>
    <xf numFmtId="0" fontId="0" fillId="0" borderId="0" xfId="0" applyAlignment="1">
      <alignment wrapText="1"/>
    </xf>
    <xf numFmtId="0" fontId="7" fillId="3" borderId="0" xfId="0" applyFont="1" applyFill="1" applyAlignment="1">
      <alignment wrapText="1"/>
    </xf>
    <xf numFmtId="49" fontId="0" fillId="0" borderId="0" xfId="0" applyNumberFormat="1"/>
    <xf numFmtId="49" fontId="0" fillId="4" borderId="0" xfId="0" applyNumberFormat="1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1" fillId="5" borderId="0" xfId="0" quotePrefix="1" applyFont="1" applyFill="1" applyAlignment="1">
      <alignment horizontal="center" vertical="center" wrapText="1"/>
    </xf>
    <xf numFmtId="0" fontId="11" fillId="5" borderId="0" xfId="0" quotePrefix="1" applyFont="1" applyFill="1" applyAlignment="1">
      <alignment vertical="center" wrapText="1"/>
    </xf>
    <xf numFmtId="0" fontId="11" fillId="5" borderId="0" xfId="0" quotePrefix="1" applyFont="1" applyFill="1" applyAlignment="1">
      <alignment wrapText="1"/>
    </xf>
    <xf numFmtId="0" fontId="13" fillId="5" borderId="0" xfId="1" applyFont="1" applyFill="1" applyAlignment="1">
      <alignment vertical="center" wrapText="1"/>
    </xf>
    <xf numFmtId="0" fontId="11" fillId="5" borderId="0" xfId="0" applyFont="1" applyFill="1" applyAlignment="1">
      <alignment vertical="center" wrapText="1"/>
    </xf>
    <xf numFmtId="0" fontId="3" fillId="3" borderId="0" xfId="0" applyFont="1" applyFill="1"/>
    <xf numFmtId="0" fontId="11" fillId="5" borderId="0" xfId="0" applyFont="1" applyFill="1"/>
    <xf numFmtId="0" fontId="11" fillId="5" borderId="0" xfId="0" applyFont="1" applyFill="1" applyAlignment="1">
      <alignment wrapText="1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vertical="center" wrapText="1"/>
    </xf>
    <xf numFmtId="3" fontId="2" fillId="0" borderId="0" xfId="1" applyNumberFormat="1" applyBorder="1" applyAlignment="1">
      <alignment vertical="center" wrapText="1"/>
    </xf>
    <xf numFmtId="1" fontId="0" fillId="0" borderId="0" xfId="0" applyNumberForma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3" fontId="12" fillId="4" borderId="1" xfId="1" applyNumberFormat="1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1" fontId="16" fillId="4" borderId="1" xfId="0" applyNumberFormat="1" applyFont="1" applyFill="1" applyBorder="1" applyAlignment="1">
      <alignment vertical="center" wrapText="1"/>
    </xf>
    <xf numFmtId="0" fontId="17" fillId="2" borderId="0" xfId="0" applyFont="1" applyFill="1"/>
    <xf numFmtId="0" fontId="5" fillId="0" borderId="0" xfId="0" applyFont="1" applyAlignment="1">
      <alignment wrapText="1"/>
    </xf>
    <xf numFmtId="0" fontId="3" fillId="3" borderId="0" xfId="0" applyFont="1" applyFill="1" applyAlignment="1">
      <alignment horizontal="center"/>
    </xf>
    <xf numFmtId="3" fontId="11" fillId="5" borderId="0" xfId="0" applyNumberFormat="1" applyFont="1" applyFill="1"/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horizontal="center" wrapText="1"/>
    </xf>
    <xf numFmtId="3" fontId="1" fillId="4" borderId="0" xfId="0" applyNumberFormat="1" applyFont="1" applyFill="1"/>
    <xf numFmtId="0" fontId="3" fillId="6" borderId="0" xfId="0" applyFont="1" applyFill="1"/>
    <xf numFmtId="168" fontId="0" fillId="0" borderId="0" xfId="0" applyNumberFormat="1"/>
    <xf numFmtId="0" fontId="0" fillId="7" borderId="0" xfId="0" applyFill="1"/>
    <xf numFmtId="1" fontId="0" fillId="7" borderId="0" xfId="0" applyNumberFormat="1" applyFill="1"/>
    <xf numFmtId="169" fontId="0" fillId="0" borderId="0" xfId="0" applyNumberFormat="1"/>
    <xf numFmtId="0" fontId="1" fillId="7" borderId="0" xfId="0" applyFont="1" applyFill="1"/>
    <xf numFmtId="0" fontId="1" fillId="7" borderId="0" xfId="0" applyFont="1" applyFill="1"/>
    <xf numFmtId="3" fontId="0" fillId="0" borderId="0" xfId="0" applyNumberFormat="1" applyAlignment="1">
      <alignment wrapText="1"/>
    </xf>
    <xf numFmtId="0" fontId="0" fillId="8" borderId="0" xfId="0" applyFill="1" applyAlignment="1">
      <alignment wrapText="1"/>
    </xf>
    <xf numFmtId="0" fontId="0" fillId="0" borderId="0" xfId="0" applyNumberFormat="1"/>
    <xf numFmtId="169" fontId="0" fillId="0" borderId="0" xfId="0" applyNumberFormat="1"/>
    <xf numFmtId="1" fontId="0" fillId="0" borderId="0" xfId="0" applyNumberFormat="1"/>
    <xf numFmtId="0" fontId="0" fillId="5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7" borderId="0" xfId="0" applyFill="1" applyAlignment="1">
      <alignment wrapText="1"/>
    </xf>
    <xf numFmtId="0" fontId="18" fillId="3" borderId="0" xfId="0" applyFont="1" applyFill="1"/>
    <xf numFmtId="0" fontId="7" fillId="3" borderId="0" xfId="0" applyFont="1" applyFill="1" applyAlignment="1">
      <alignment wrapText="1"/>
    </xf>
    <xf numFmtId="0" fontId="19" fillId="2" borderId="0" xfId="0" applyFont="1" applyFill="1"/>
    <xf numFmtId="49" fontId="1" fillId="4" borderId="0" xfId="0" applyNumberFormat="1" applyFont="1" applyFill="1"/>
    <xf numFmtId="0" fontId="11" fillId="7" borderId="0" xfId="0" applyFont="1" applyFill="1"/>
  </cellXfs>
  <cellStyles count="2">
    <cellStyle name="Lien hypertexte" xfId="1" builtinId="8"/>
    <cellStyle name="Normal" xfId="0" builtinId="0"/>
  </cellStyles>
  <dxfs count="32">
    <dxf>
      <font>
        <sz val="9"/>
        <name val="Consolas"/>
      </font>
    </dxf>
    <dxf>
      <numFmt numFmtId="21" formatCode="dd/mmm"/>
    </dxf>
    <dxf>
      <alignment wrapText="1"/>
    </dxf>
    <dxf>
      <alignment wrapText="1"/>
    </dxf>
    <dxf>
      <alignment wrapText="1"/>
    </dxf>
    <dxf>
      <numFmt numFmtId="167" formatCode="0&quot;ᵉ&quot;"/>
      <alignment horizontal="center"/>
    </dxf>
    <dxf>
      <alignment horizontal="center"/>
    </dxf>
    <dxf>
      <alignment horizontal="center"/>
    </dxf>
    <dxf>
      <alignment horizontal="center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wrapText="1"/>
    </dxf>
    <dxf>
      <alignment wrapText="1"/>
    </dxf>
    <dxf>
      <numFmt numFmtId="1" formatCode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388620</xdr:colOff>
      <xdr:row>8</xdr:row>
      <xdr:rowOff>15240</xdr:rowOff>
    </xdr:from>
    <xdr:to>
      <xdr:col>13</xdr:col>
      <xdr:colOff>137160</xdr:colOff>
      <xdr:row>11</xdr:row>
      <xdr:rowOff>167640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74213C27-0206-A1A6-30CC-F891710AA504}"/>
                </a:ext>
              </a:extLst>
            </xdr:cNvPr>
            <xdr:cNvSpPr txBox="1"/>
          </xdr:nvSpPr>
          <xdr:spPr>
            <a:xfrm>
              <a:off x="6728460" y="1478280"/>
              <a:ext cx="3710940" cy="70104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CA" sz="1100"/>
                <a:t>0,1,2,3,4,5,6,7,8,9.</a:t>
              </a:r>
              <a:r>
                <a:rPr lang="fr-CA" sz="1100" baseline="0"/>
                <a:t> Ces 10 caractères numériques peuvent a eux seuls reconstruire toute les nombre de 0 a +</a:t>
              </a:r>
              <a14:m>
                <m:oMath xmlns:m="http://schemas.openxmlformats.org/officeDocument/2006/math">
                  <m:r>
                    <a:rPr lang="fr-CA" sz="1100" i="1" baseline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∞</m:t>
                  </m:r>
                </m:oMath>
              </a14:m>
              <a:r>
                <a:rPr lang="fr-CA" sz="1100"/>
                <a:t> et de 0</a:t>
              </a:r>
              <a14:m>
                <m:oMath xmlns:m="http://schemas.openxmlformats.org/officeDocument/2006/math">
                  <m:r>
                    <a:rPr lang="fr-CA" sz="1100" b="0" i="1">
                      <a:latin typeface="Cambria Math" panose="02040503050406030204" pitchFamily="18" charset="0"/>
                    </a:rPr>
                    <m:t>−</m:t>
                  </m:r>
                  <m:r>
                    <a:rPr lang="fr-CA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∞</m:t>
                  </m:r>
                </m:oMath>
              </a14:m>
              <a:endParaRPr lang="fr-CA" sz="1100"/>
            </a:p>
            <a:p>
              <a:r>
                <a:rPr lang="fr-CA" sz="1100"/>
                <a:t>inclusivement. </a:t>
              </a:r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74213C27-0206-A1A6-30CC-F891710AA504}"/>
                </a:ext>
              </a:extLst>
            </xdr:cNvPr>
            <xdr:cNvSpPr txBox="1"/>
          </xdr:nvSpPr>
          <xdr:spPr>
            <a:xfrm>
              <a:off x="6728460" y="1478280"/>
              <a:ext cx="3710940" cy="70104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CA" sz="1100"/>
                <a:t>0,1,2,3,4,5,6,7,8,9.</a:t>
              </a:r>
              <a:r>
                <a:rPr lang="fr-CA" sz="1100" baseline="0"/>
                <a:t> Ces 10 caractères numériques peuvent a eux seuls reconstruire toute les nombre de 0 a +</a:t>
              </a:r>
              <a:r>
                <a:rPr lang="fr-CA" sz="110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∞</a:t>
              </a:r>
              <a:r>
                <a:rPr lang="fr-CA" sz="1100"/>
                <a:t> et de 0</a:t>
              </a:r>
              <a:r>
                <a:rPr lang="fr-CA" sz="1100" b="0" i="0">
                  <a:latin typeface="Cambria Math" panose="02040503050406030204" pitchFamily="18" charset="0"/>
                </a:rPr>
                <a:t>−</a:t>
              </a:r>
              <a:r>
                <a:rPr lang="fr-CA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∞</a:t>
              </a:r>
              <a:endParaRPr lang="fr-CA" sz="1100"/>
            </a:p>
            <a:p>
              <a:r>
                <a:rPr lang="fr-CA" sz="1100"/>
                <a:t>inclusivement. </a:t>
              </a:r>
            </a:p>
          </xdr:txBody>
        </xdr:sp>
      </mc:Fallback>
    </mc:AlternateContent>
    <xdr:clientData/>
  </xdr:twoCellAnchor>
  <xdr:oneCellAnchor>
    <xdr:from>
      <xdr:col>6</xdr:col>
      <xdr:colOff>731521</xdr:colOff>
      <xdr:row>14</xdr:row>
      <xdr:rowOff>121703</xdr:rowOff>
    </xdr:from>
    <xdr:ext cx="3984384" cy="224811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3329FA0-5F6B-B8D5-9136-8C578EC628C6}"/>
            </a:ext>
          </a:extLst>
        </xdr:cNvPr>
        <xdr:cNvSpPr/>
      </xdr:nvSpPr>
      <xdr:spPr>
        <a:xfrm>
          <a:off x="5486401" y="2682023"/>
          <a:ext cx="3984384" cy="224811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fr-CA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8</xdr:col>
      <xdr:colOff>335280</xdr:colOff>
      <xdr:row>15</xdr:row>
      <xdr:rowOff>129540</xdr:rowOff>
    </xdr:from>
    <xdr:to>
      <xdr:col>14</xdr:col>
      <xdr:colOff>7620</xdr:colOff>
      <xdr:row>24</xdr:row>
      <xdr:rowOff>91440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DB422821-19F0-F726-320B-54A950297E8A}"/>
            </a:ext>
          </a:extLst>
        </xdr:cNvPr>
        <xdr:cNvSpPr txBox="1"/>
      </xdr:nvSpPr>
      <xdr:spPr>
        <a:xfrm>
          <a:off x="6675120" y="2872740"/>
          <a:ext cx="4427220" cy="1607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A" sz="1100"/>
            <a:t>Il faut ensuite déterminer</a:t>
          </a:r>
          <a:r>
            <a:rPr lang="fr-CA" sz="1100" baseline="0"/>
            <a:t> pour la reconstruction des équations servant a déterminer la somme des suites A et B pour l'ensemble des valeur de n qui est stictement positive et est un entier.</a:t>
          </a:r>
          <a:endParaRPr lang="fr-CA" sz="1100"/>
        </a:p>
      </xdr:txBody>
    </xdr:sp>
    <xdr:clientData/>
  </xdr:twoCellAnchor>
  <xdr:twoCellAnchor>
    <xdr:from>
      <xdr:col>10</xdr:col>
      <xdr:colOff>373380</xdr:colOff>
      <xdr:row>36</xdr:row>
      <xdr:rowOff>0</xdr:rowOff>
    </xdr:from>
    <xdr:to>
      <xdr:col>16</xdr:col>
      <xdr:colOff>617220</xdr:colOff>
      <xdr:row>58</xdr:row>
      <xdr:rowOff>91440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D4A34714-9E4D-B98A-2C00-9EF117FD4A63}"/>
                </a:ext>
              </a:extLst>
            </xdr:cNvPr>
            <xdr:cNvSpPr txBox="1"/>
          </xdr:nvSpPr>
          <xdr:spPr>
            <a:xfrm>
              <a:off x="8298180" y="6583680"/>
              <a:ext cx="4998720" cy="41148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CA" sz="1100"/>
                <a:t>Pour déterminer le reste et la valeur de x .</a:t>
              </a:r>
              <a:r>
                <a:rPr lang="fr-CA" sz="1100" baseline="0"/>
                <a:t> </a:t>
              </a:r>
            </a:p>
            <a:p>
              <a:endParaRPr lang="fr-CA" sz="1100" baseline="0"/>
            </a:p>
            <a:p>
              <a:r>
                <a:rPr lang="fr-CA" sz="1100" baseline="0"/>
                <a:t>X:coefficient A/( Somme suite A(10termes)/k^10)-reste= Valeur en nombre décimale nommons le Z il est composé d'une valeur entière E et d'une valeur réele plus petite que 1 nommons le R. </a:t>
              </a:r>
            </a:p>
            <a:p>
              <a:endParaRPr lang="fr-CA" sz="1100" baseline="0"/>
            </a:p>
            <a:p>
              <a:r>
                <a:rPr lang="fr-CA" sz="1100" baseline="0"/>
                <a:t>Coefficient A/(Somme suite A(10 termes)/k^10)= Z(E,R)</a:t>
              </a:r>
            </a:p>
            <a:p>
              <a:endParaRPr lang="fr-CA" sz="1100" baseline="0"/>
            </a:p>
            <a:p>
              <a:r>
                <a:rPr lang="fr-CA" sz="1100"/>
                <a:t>xA= E-R. Il reste donc R x=E</a:t>
              </a:r>
            </a:p>
            <a:p>
              <a:r>
                <a:rPr lang="fr-CA" sz="1100"/>
                <a:t>ex fictif 43.426978=Z</a:t>
              </a:r>
              <a:r>
                <a:rPr lang="fr-CA" sz="1100" baseline="0"/>
                <a:t> x=43-0.426978 =43</a:t>
              </a:r>
            </a:p>
            <a:p>
              <a:endParaRPr lang="fr-CA" sz="1100" baseline="0"/>
            </a:p>
            <a:p>
              <a:r>
                <a:rPr lang="fr-CA" sz="1100" baseline="0"/>
                <a:t>(Coeficient A /xA)*k^10-Reste = Somme suite A 10 termes+reste</a:t>
              </a:r>
            </a:p>
            <a:p>
              <a:endParaRPr lang="fr-CA" sz="1100" baseline="0"/>
            </a:p>
            <a:p>
              <a:r>
                <a:rPr lang="fr-CA" sz="1100"/>
                <a:t>(Somme suite A 10 termes+reste)-(somme</a:t>
              </a:r>
              <a:r>
                <a:rPr lang="fr-CA" sz="1100" baseline="0"/>
                <a:t> suite A(10 termes)=Reste</a:t>
              </a:r>
            </a:p>
            <a:p>
              <a:endParaRPr lang="fr-CA" sz="1100" baseline="0"/>
            </a:p>
            <a:p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r-CA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fr-CA" sz="1100" b="0" i="1">
                            <a:latin typeface="Cambria Math" panose="02040503050406030204" pitchFamily="18" charset="0"/>
                          </a:rPr>
                          <m:t>𝐶𝑜𝑒𝑓𝑓𝑖𝑐𝑖𝑒𝑛𝑡</m:t>
                        </m:r>
                        <m:r>
                          <a:rPr lang="fr-CA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fr-CA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num>
                      <m:den>
                        <m:r>
                          <a:rPr lang="fr-CA" sz="1100" b="0" i="1">
                            <a:latin typeface="Cambria Math" panose="02040503050406030204" pitchFamily="18" charset="0"/>
                          </a:rPr>
                          <m:t>𝑥𝐴</m:t>
                        </m:r>
                      </m:den>
                    </m:f>
                    <m:r>
                      <a:rPr lang="fr-CA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fr-CA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fr-CA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</m:e>
                      <m:sup>
                        <m:r>
                          <a:rPr lang="fr-CA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sup>
                    </m:sSup>
                    <m:r>
                      <a:rPr lang="fr-CA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fr-CA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𝑟𝑒𝑠𝑡𝑒</m:t>
                    </m:r>
                    <m:r>
                      <a:rPr lang="fr-CA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fr-CA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𝑠𝑜𝑚𝑚𝑒</m:t>
                    </m:r>
                    <m:r>
                      <a:rPr lang="fr-CA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fr-CA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𝑠𝑢𝑖𝑡𝑒</m:t>
                    </m:r>
                    <m:r>
                      <a:rPr lang="fr-CA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fr-CA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</m:t>
                    </m:r>
                  </m:oMath>
                </m:oMathPara>
              </a14:m>
              <a:endParaRPr lang="fr-CA" sz="1100"/>
            </a:p>
            <a:p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r-CA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fr-CA" sz="1100" b="0" i="1">
                            <a:latin typeface="Cambria Math" panose="02040503050406030204" pitchFamily="18" charset="0"/>
                          </a:rPr>
                          <m:t>𝐶𝑜𝑒𝑓𝑓𝑖𝑐𝑖𝑒𝑛𝑡</m:t>
                        </m:r>
                        <m:r>
                          <a:rPr lang="fr-CA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fr-CA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num>
                      <m:den>
                        <m:r>
                          <a:rPr lang="fr-CA" sz="1100" b="0" i="1">
                            <a:latin typeface="Cambria Math" panose="02040503050406030204" pitchFamily="18" charset="0"/>
                          </a:rPr>
                          <m:t>𝑥𝐵</m:t>
                        </m:r>
                      </m:den>
                    </m:f>
                    <m:r>
                      <a:rPr lang="fr-CA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fr-CA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fr-CA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</m:e>
                      <m:sup>
                        <m:r>
                          <a:rPr lang="fr-CA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sup>
                    </m:sSup>
                    <m:r>
                      <a:rPr lang="fr-CA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fr-CA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𝑟𝑒𝑠𝑡𝑒</m:t>
                    </m:r>
                    <m:r>
                      <a:rPr lang="fr-CA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fr-CA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𝑠𝑜𝑚𝑚𝑒</m:t>
                    </m:r>
                    <m:r>
                      <a:rPr lang="fr-CA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fr-CA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𝑠𝑢𝑖𝑡𝑒</m:t>
                    </m:r>
                    <m:r>
                      <a:rPr lang="fr-CA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fr-CA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𝐵</m:t>
                    </m:r>
                  </m:oMath>
                </m:oMathPara>
              </a14:m>
              <a:endParaRPr lang="fr-CA" sz="1100"/>
            </a:p>
          </xdr:txBody>
        </xdr:sp>
      </mc:Choice>
      <mc:Fallback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D4A34714-9E4D-B98A-2C00-9EF117FD4A63}"/>
                </a:ext>
              </a:extLst>
            </xdr:cNvPr>
            <xdr:cNvSpPr txBox="1"/>
          </xdr:nvSpPr>
          <xdr:spPr>
            <a:xfrm>
              <a:off x="8298180" y="6583680"/>
              <a:ext cx="4998720" cy="41148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CA" sz="1100"/>
                <a:t>Pour déterminer le reste et la valeur de x .</a:t>
              </a:r>
              <a:r>
                <a:rPr lang="fr-CA" sz="1100" baseline="0"/>
                <a:t> </a:t>
              </a:r>
            </a:p>
            <a:p>
              <a:endParaRPr lang="fr-CA" sz="1100" baseline="0"/>
            </a:p>
            <a:p>
              <a:r>
                <a:rPr lang="fr-CA" sz="1100" baseline="0"/>
                <a:t>X:coefficient A/( Somme suite A(10termes)/k^10)-reste= Valeur en nombre décimale nommons le Z il est composé d'une valeur entière E et d'une valeur réele plus petite que 1 nommons le R. </a:t>
              </a:r>
            </a:p>
            <a:p>
              <a:endParaRPr lang="fr-CA" sz="1100" baseline="0"/>
            </a:p>
            <a:p>
              <a:r>
                <a:rPr lang="fr-CA" sz="1100" baseline="0"/>
                <a:t>Coefficient A/(Somme suite A(10 termes)/k^10)= Z(E,R)</a:t>
              </a:r>
            </a:p>
            <a:p>
              <a:endParaRPr lang="fr-CA" sz="1100" baseline="0"/>
            </a:p>
            <a:p>
              <a:r>
                <a:rPr lang="fr-CA" sz="1100"/>
                <a:t>xA= E-R. Il reste donc R x=E</a:t>
              </a:r>
            </a:p>
            <a:p>
              <a:r>
                <a:rPr lang="fr-CA" sz="1100"/>
                <a:t>ex fictif 43.426978=Z</a:t>
              </a:r>
              <a:r>
                <a:rPr lang="fr-CA" sz="1100" baseline="0"/>
                <a:t> x=43-0.426978 =43</a:t>
              </a:r>
            </a:p>
            <a:p>
              <a:endParaRPr lang="fr-CA" sz="1100" baseline="0"/>
            </a:p>
            <a:p>
              <a:r>
                <a:rPr lang="fr-CA" sz="1100" baseline="0"/>
                <a:t>(Coeficient A /xA)*k^10-Reste = Somme suite A 10 termes+reste</a:t>
              </a:r>
            </a:p>
            <a:p>
              <a:endParaRPr lang="fr-CA" sz="1100" baseline="0"/>
            </a:p>
            <a:p>
              <a:r>
                <a:rPr lang="fr-CA" sz="1100"/>
                <a:t>(Somme suite A 10 termes+reste)-(somme</a:t>
              </a:r>
              <a:r>
                <a:rPr lang="fr-CA" sz="1100" baseline="0"/>
                <a:t> suite A(10 termes)=Reste</a:t>
              </a:r>
            </a:p>
            <a:p>
              <a:endParaRPr lang="fr-CA" sz="1100" baseline="0"/>
            </a:p>
            <a:p>
              <a:r>
                <a:rPr lang="fr-CA" sz="1100" i="0">
                  <a:latin typeface="Cambria Math" panose="02040503050406030204" pitchFamily="18" charset="0"/>
                </a:rPr>
                <a:t>(</a:t>
              </a:r>
              <a:r>
                <a:rPr lang="fr-CA" sz="1100" b="0" i="0">
                  <a:latin typeface="Cambria Math" panose="02040503050406030204" pitchFamily="18" charset="0"/>
                </a:rPr>
                <a:t>𝐶𝑜𝑒𝑓𝑓𝑖𝑐𝑖𝑒𝑛𝑡 𝐴)/𝑥𝐴</a:t>
              </a:r>
              <a:r>
                <a:rPr lang="fr-CA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fr-CA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𝑘^𝑛−𝑟𝑒𝑠𝑡𝑒=𝑠𝑜𝑚𝑚𝑒 𝑠𝑢𝑖𝑡𝑒 𝐴</a:t>
              </a:r>
              <a:endParaRPr lang="fr-CA" sz="1100"/>
            </a:p>
            <a:p>
              <a:r>
                <a:rPr lang="fr-CA" sz="1100" i="0">
                  <a:latin typeface="Cambria Math" panose="02040503050406030204" pitchFamily="18" charset="0"/>
                </a:rPr>
                <a:t>(</a:t>
              </a:r>
              <a:r>
                <a:rPr lang="fr-CA" sz="1100" b="0" i="0">
                  <a:latin typeface="Cambria Math" panose="02040503050406030204" pitchFamily="18" charset="0"/>
                </a:rPr>
                <a:t>𝐶𝑜𝑒𝑓𝑓𝑖𝑐𝑖𝑒𝑛𝑡 𝐵)/𝑥𝐵</a:t>
              </a:r>
              <a:r>
                <a:rPr lang="fr-CA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fr-CA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𝑘^𝑛−𝑟𝑒𝑠𝑡𝑒=𝑠𝑜𝑚𝑚𝑒 𝑠𝑢𝑖𝑡𝑒 𝐵</a:t>
              </a:r>
              <a:endParaRPr lang="fr-CA" sz="1100"/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CE9D19-A141-4E3B-906E-A7EF356725ED}" name="tblRegles" displayName="tblRegles" ref="A5:G6" totalsRowShown="0">
  <autoFilter ref="A5:G6" xr:uid="{1FCE9D19-A141-4E3B-906E-A7EF356725ED}"/>
  <tableColumns count="7">
    <tableColumn id="1" xr3:uid="{FFD8E67D-2BD1-466E-A045-5BF8A1C4C381}" name="Rapport" dataDxfId="12"/>
    <tableColumn id="2" xr3:uid="{89DCEAE0-0175-4AF1-8D83-09ADC62AB88D}" name="k" dataDxfId="31"/>
    <tableColumn id="3" xr3:uid="{BA8AE418-037C-4DC0-849A-308DD623B6D8}" name="n" dataDxfId="30"/>
    <tableColumn id="4" xr3:uid="{1100D919-BCF7-453D-87AC-BCA2E58E3837}" name="Exp reconstruction" dataDxfId="29"/>
    <tableColumn id="5" xr3:uid="{1CD99679-5E12-4192-8682-934AC2BAB671}" name="Position Digamma" dataDxfId="28"/>
    <tableColumn id="6" xr3:uid="{44AC206C-FFCC-4176-AAD2-475A1FC7FCDA}" name="Signe Digamma" dataDxfId="27"/>
    <tableColumn id="7" xr3:uid="{4048E0F1-B804-4D52-AD46-F6CBCAAA07A7}" name="Statut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B73A80-1507-4E70-8346-212CDE29B6AE}" name="tblResultats" displayName="tblResultats" ref="A10:G11" totalsRowShown="0">
  <autoFilter ref="A10:G11" xr:uid="{4DB73A80-1507-4E70-8346-212CDE29B6AE}"/>
  <tableColumns count="7">
    <tableColumn id="1" xr3:uid="{D45DF858-9516-4E13-8CB2-987D64575ACF}" name="Rapport" dataDxfId="11"/>
    <tableColumn id="2" xr3:uid="{F8CD4997-B742-4319-9B0A-EAEE5C90C3BC}" name="Somme A">
      <calculatedColumnFormula>SUMIFS(tblConvolution[Valeur],tblConvolution[Rapport],A11,tblConvolution[Suite],"A")</calculatedColumnFormula>
    </tableColumn>
    <tableColumn id="3" xr3:uid="{CFE0E4EF-409E-4659-8468-A649187C7EDC}" name="Somme B">
      <calculatedColumnFormula>SUMIFS(tblConvolution[Valeur],tblConvolution[Rapport],A11,tblConvolution[Suite],"B")</calculatedColumnFormula>
    </tableColumn>
    <tableColumn id="4" xr3:uid="{56DFAD4B-13E2-49C4-B73B-3188F3B20D01}" name="A ajustée">
      <calculatedColumnFormula>B11+_xlfn.XLOOKUP(A11,tblRegles[Rapport],tblRegles[Signe Digamma])*_xlfn.XLOOKUP(A11,tblRegles[Rapport],tblRegles[k])^_xlfn.XLOOKUP(A11,tblRegles[Rapport],tblRegles[Position Digamma])</calculatedColumnFormula>
    </tableColumn>
    <tableColumn id="5" xr3:uid="{3DE3B41A-D93E-4E2B-A78F-235B93CDB924}" name="P reconstruit">
      <calculatedColumnFormula>(C11-D11)/_xlfn.XLOOKUP(A11,tblRegles[Rapport],tblRegles[k])^_xlfn.XLOOKUP(A11,tblRegles[Rapport],tblRegles[Exp reconstruction])</calculatedColumnFormula>
    </tableColumn>
    <tableColumn id="6" xr3:uid="{7B9910F9-1278-4CA3-A22B-32855F2B1D25}" name="Premier?">
      <calculatedColumnFormula array="1">_xlfn.LET(_xlpm.p,E11,IF(OR(_xlpm.p&lt;&gt;INT(_xlpm.p),_xlpm.p&lt;2),"Non",IF(SUM(--(MOD(_xlpm.p,_xlfn.SEQUENCE(_xlpm.p))=0))=2,"Oui","Non")))</calculatedColumnFormula>
    </tableColumn>
    <tableColumn id="7" xr3:uid="{2FA317C1-2A40-4C58-9C51-2872CAD123BB}" name="Rang premier" dataDxfId="13">
      <calculatedColumnFormula array="1">IF(F11&lt;&gt;"Oui","",_xlfn.LET(_xlpm.p,INT(E11),_xlpm.q,_xlfn.SEQUENCE(_xlpm.p),_xlpm.d,TRANSPOSE(_xlfn.SEQUENCE(_xlpm.p)),_xlpm.cnt,MMULT(--(MOD(_xlpm.q,_xlpm.d)=0),_xlfn.SEQUENCE(_xlpm.p,,1,0)),SUM(--(_xlpm.cnt=2))))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DF38A30-E812-423F-BE51-D5910CC80B17}" name="tblConstantes" displayName="tblConstantes" ref="A16:G20" totalsRowShown="0">
  <autoFilter ref="A16:G20" xr:uid="{1DF38A30-E812-423F-BE51-D5910CC80B17}"/>
  <tableColumns count="7">
    <tableColumn id="1" xr3:uid="{131286E5-B944-41DB-B156-E101F2F8290D}" name="k"/>
    <tableColumn id="2" xr3:uid="{E992E916-599E-40DA-AAD5-FE20C40282A2}" name="αA"/>
    <tableColumn id="3" xr3:uid="{4C7C0BCE-92A5-42E3-A6BF-9B72B2252624}" name="αB"/>
    <tableColumn id="4" xr3:uid="{85DF56BD-E97D-40D5-ABE8-5586F992208C}" name="offset A"/>
    <tableColumn id="5" xr3:uid="{26F4D198-140D-4FE8-BA20-763AD207822E}" name="offset B"/>
    <tableColumn id="6" xr3:uid="{C53340F9-945A-471F-A209-20A498419268}" name="Portée" dataDxfId="1"/>
    <tableColumn id="7" xr3:uid="{6CB1AA2A-B490-4A71-B479-A4E98F59FCB3}" name="Statu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B3D597-F48F-40CE-BB6A-7F27EBCB46C4}" name="tblConvolution" displayName="tblConvolution" ref="A5:I25" totalsRowShown="0">
  <autoFilter ref="A5:I25" xr:uid="{7BB3D597-F48F-40CE-BB6A-7F27EBCB46C4}"/>
  <tableColumns count="9">
    <tableColumn id="1" xr3:uid="{F136A00C-B11E-4AE0-805E-6333B9DC169D}" name="Rapport" dataDxfId="10"/>
    <tableColumn id="2" xr3:uid="{74672135-969A-436C-8875-332F50BEB86C}" name="Suite"/>
    <tableColumn id="3" xr3:uid="{D20B6173-D5EE-460B-B219-70A17A4D284E}" name="Ordre" dataDxfId="26"/>
    <tableColumn id="4" xr3:uid="{E87C196E-7A62-4B02-BCAE-6B2CF6411CCB}" name="Coeff 1" dataDxfId="25"/>
    <tableColumn id="5" xr3:uid="{4C1CFC3D-ED0F-4DF6-8793-85D7C4B6FE85}" name="Exposant 1" dataDxfId="24"/>
    <tableColumn id="6" xr3:uid="{0A1643F2-3EC4-4159-94F3-A3738C5606A3}" name="Coeff 2" dataDxfId="23"/>
    <tableColumn id="7" xr3:uid="{374BE661-0111-4221-9EDB-B104CCC4911D}" name="Exposant 2" dataDxfId="22"/>
    <tableColumn id="8" xr3:uid="{8B798836-7AB1-46A0-BCC0-42B5A68AFAA6}" name="Valeur" dataDxfId="21">
      <calculatedColumnFormula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calculatedColumnFormula>
    </tableColumn>
    <tableColumn id="9" xr3:uid="{405E5A18-1C7B-46E0-9B68-6CB56BC93177}" name="Expression formel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D5D43A-7A8E-441B-A09F-FBB307E603E0}" name="tblTests" displayName="tblTests" ref="A5:G9" totalsRowShown="0">
  <autoFilter ref="A5:G9" xr:uid="{30D5D43A-7A8E-441B-A09F-FBB307E603E0}"/>
  <tableColumns count="7">
    <tableColumn id="1" xr3:uid="{8EAB8A5F-AC62-4C2D-85EF-F38ED4EB76E7}" name="Rapport" dataDxfId="9"/>
    <tableColumn id="2" xr3:uid="{31AC80C6-D615-4E65-833B-458DE377CA66}" name="k" dataDxfId="20"/>
    <tableColumn id="3" xr3:uid="{F4C9C53C-7F1B-4BBA-8648-013660106EC8}" name="Position" dataDxfId="19"/>
    <tableColumn id="4" xr3:uid="{C6AAE5D7-1A7B-4434-BBB1-0F332C60E254}" name="Signe" dataDxfId="18"/>
    <tableColumn id="5" xr3:uid="{30E1E634-0463-40CA-BDEC-652B5310FA58}" name="Somme A" dataDxfId="17">
      <calculatedColumnFormula>SUMIFS(tblConvolution[Valeur],tblConvolution[Rapport],A6,tblConvolution[Suite],"A")</calculatedColumnFormula>
    </tableColumn>
    <tableColumn id="6" xr3:uid="{FA5E18B2-6593-4109-B51B-7FC71E56CDC8}" name="Somme B" dataDxfId="16">
      <calculatedColumnFormula>SUMIFS(tblConvolution[Valeur],tblConvolution[Rapport],A6,tblConvolution[Suite],"B")</calculatedColumnFormula>
    </tableColumn>
    <tableColumn id="10" xr3:uid="{F1A4557C-EF8B-463D-B2F6-D5765AB30C19}" name="Rang" dataDxfId="15">
      <calculatedColumnFormula array="1">_xlfn.LET(_xlpm.p,(F6-(E6+D6*B6^C6))/B6^_xlfn.XLOOKUP(A6,tblRegles[Rapport],tblRegles[Exp reconstruction]),IF(OR(_xlpm.p&lt;&gt;INT(_xlpm.p),_xlpm.p&lt;2),"",_xlfn.LET(_xlpm.q,_xlfn.SEQUENCE(INT(_xlpm.p)),_xlpm.d,TRANSPOSE(_xlfn.SEQUENCE(INT(_xlpm.p))),_xlpm.cnt,MMULT(--(MOD(_xlpm.q,_xlpm.d)=0),_xlfn.SEQUENCE(INT(_xlpm.p),,1,0)),IF(SUM(--(MOD(_xlpm.p,_xlfn.SEQUENCE(INT(_xlpm.p)))=0))=2,SUM(--(_xlpm.cnt=2)),""))))</calculatedColumnFormula>
    </tableColumn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C458B49-398D-45DE-B5E3-B76D76212AAE}" name="tblOptionsDigamma" displayName="tblOptionsDigamma" ref="C47:I51" totalsRowShown="0">
  <autoFilter ref="C47:I51" xr:uid="{7C458B49-398D-45DE-B5E3-B76D76212AAE}"/>
  <tableColumns count="7">
    <tableColumn id="1" xr3:uid="{D9A7F9FD-05B0-45A0-BAF2-973AF11B19B9}" name="Option" dataDxfId="8"/>
    <tableColumn id="2" xr3:uid="{4F540AD1-1F36-4317-AB85-BBD10E49E5B9}" name="Position Digamma" dataDxfId="5"/>
    <tableColumn id="3" xr3:uid="{D3D446DC-F476-46CF-BB91-F6463C72AA21}" name="Terme Digamma" dataDxfId="7"/>
    <tableColumn id="4" xr3:uid="{2EB71D8C-2290-4AC5-B92A-01AF38EAD764}" name="Opération" dataDxfId="6"/>
    <tableColumn id="5" xr3:uid="{F4C3625D-8E23-49C6-B473-B4C3BBE51BF4}" name="Forme concise" dataDxfId="4">
      <calculatedColumnFormula>"Somme_A10 "&amp;F48&amp;" "&amp;E48</calculatedColumnFormula>
    </tableColumn>
    <tableColumn id="6" xr3:uid="{46BBF2CE-233C-45F8-B4B5-C8F0F4D70952}" name="Développement complet" dataDxfId="3">
      <calculatedColumnFormula>"("&amp;$E$32&amp;") "&amp;F48&amp;" "&amp;E48</calculatedColumnFormula>
    </tableColumn>
    <tableColumn id="7" xr3:uid="{54A9F1A0-09AE-4CE6-8013-089943224252}" name="Statut" dataDxfId="2">
      <calculatedColumnFormula>IF(AND(D48=_xlfn.XLOOKUP(Parametres!$A$11,tblRegles[Rapport],tblRegles[Position Digamma]),F48=IF(_xlfn.XLOOKUP(Parametres!$A$11,tblRegles[Rapport],tblRegles[Signe Digamma])=1,"+","−")),"Option retenue pour "&amp;Parametres!$A$11,"Candidate")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3FDFAB7-A26A-414B-AF53-BF42DFDFB2BC}" name="tblCodePython" displayName="tblCodePython" ref="A5:B87" totalsRowShown="0">
  <autoFilter ref="A5:B87" xr:uid="{A3FDFAB7-A26A-414B-AF53-BF42DFDFB2BC}"/>
  <tableColumns count="2">
    <tableColumn id="1" xr3:uid="{EB9405BE-D111-4DE3-BB5F-8BF94F100A8F}" name="Ligne"/>
    <tableColumn id="2" xr3:uid="{5B56A9EB-6846-4200-9D55-57551ABA4A72}" name="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ca://s/?q=terme_ta3" TargetMode="External"/><Relationship Id="rId18" Type="http://schemas.openxmlformats.org/officeDocument/2006/relationships/hyperlink" Target="ca://s/?q=terme_ta8_moins_ta6" TargetMode="External"/><Relationship Id="rId26" Type="http://schemas.openxmlformats.org/officeDocument/2006/relationships/hyperlink" Target="ca://s/?q=terme_tb7" TargetMode="External"/><Relationship Id="rId39" Type="http://schemas.openxmlformats.org/officeDocument/2006/relationships/hyperlink" Target="ca://s/?q=terme_tb9_moins_tb7" TargetMode="External"/><Relationship Id="rId21" Type="http://schemas.openxmlformats.org/officeDocument/2006/relationships/hyperlink" Target="ca://s/?q=terme_tb1" TargetMode="External"/><Relationship Id="rId34" Type="http://schemas.openxmlformats.org/officeDocument/2006/relationships/hyperlink" Target="ca://s/?q=terme_tb3" TargetMode="External"/><Relationship Id="rId42" Type="http://schemas.openxmlformats.org/officeDocument/2006/relationships/hyperlink" Target="ca://s/?q=Digamma_option_1" TargetMode="External"/><Relationship Id="rId47" Type="http://schemas.openxmlformats.org/officeDocument/2006/relationships/hyperlink" Target="ca://s/?q=Zeta_6e_terme" TargetMode="External"/><Relationship Id="rId50" Type="http://schemas.openxmlformats.org/officeDocument/2006/relationships/hyperlink" Target="ca://s/?q=Zeta_6e_terme" TargetMode="External"/><Relationship Id="rId55" Type="http://schemas.openxmlformats.org/officeDocument/2006/relationships/table" Target="../tables/table6.xml"/><Relationship Id="rId7" Type="http://schemas.openxmlformats.org/officeDocument/2006/relationships/hyperlink" Target="ca://s/?q=terme_ta4" TargetMode="External"/><Relationship Id="rId2" Type="http://schemas.openxmlformats.org/officeDocument/2006/relationships/hyperlink" Target="ca://s/?q=terme_ta9_moins_ta7" TargetMode="External"/><Relationship Id="rId16" Type="http://schemas.openxmlformats.org/officeDocument/2006/relationships/hyperlink" Target="ca://s/?q=terme_ta6" TargetMode="External"/><Relationship Id="rId29" Type="http://schemas.openxmlformats.org/officeDocument/2006/relationships/hyperlink" Target="ca://s/?q=terme_tb10_moins_tb8" TargetMode="External"/><Relationship Id="rId11" Type="http://schemas.openxmlformats.org/officeDocument/2006/relationships/hyperlink" Target="ca://s/?q=terme_ta1" TargetMode="External"/><Relationship Id="rId24" Type="http://schemas.openxmlformats.org/officeDocument/2006/relationships/hyperlink" Target="ca://s/?q=terme_tb4" TargetMode="External"/><Relationship Id="rId32" Type="http://schemas.openxmlformats.org/officeDocument/2006/relationships/hyperlink" Target="ca://s/?q=terme_tb1" TargetMode="External"/><Relationship Id="rId37" Type="http://schemas.openxmlformats.org/officeDocument/2006/relationships/hyperlink" Target="ca://s/?q=terme_tb7" TargetMode="External"/><Relationship Id="rId40" Type="http://schemas.openxmlformats.org/officeDocument/2006/relationships/hyperlink" Target="ca://s/?q=terme_tb10_moins_tb8" TargetMode="External"/><Relationship Id="rId45" Type="http://schemas.openxmlformats.org/officeDocument/2006/relationships/hyperlink" Target="ca://s/?q=Digamma_option_2" TargetMode="External"/><Relationship Id="rId53" Type="http://schemas.openxmlformats.org/officeDocument/2006/relationships/hyperlink" Target="ca://s/?q=Zeta_6e_terme" TargetMode="External"/><Relationship Id="rId5" Type="http://schemas.openxmlformats.org/officeDocument/2006/relationships/hyperlink" Target="ca://s/?q=terme_ta6" TargetMode="External"/><Relationship Id="rId10" Type="http://schemas.openxmlformats.org/officeDocument/2006/relationships/hyperlink" Target="ca://s/?q=terme_ta1" TargetMode="External"/><Relationship Id="rId19" Type="http://schemas.openxmlformats.org/officeDocument/2006/relationships/hyperlink" Target="ca://s/?q=terme_ta9_moins_ta7" TargetMode="External"/><Relationship Id="rId31" Type="http://schemas.openxmlformats.org/officeDocument/2006/relationships/hyperlink" Target="ca://s/?q=somme_B10" TargetMode="External"/><Relationship Id="rId44" Type="http://schemas.openxmlformats.org/officeDocument/2006/relationships/hyperlink" Target="ca://s/?q=Zeta_6e_terme" TargetMode="External"/><Relationship Id="rId52" Type="http://schemas.openxmlformats.org/officeDocument/2006/relationships/hyperlink" Target="ca://s/?q=Somme_suite_B_10" TargetMode="External"/><Relationship Id="rId4" Type="http://schemas.openxmlformats.org/officeDocument/2006/relationships/hyperlink" Target="ca://s/?q=terme_ta7" TargetMode="External"/><Relationship Id="rId9" Type="http://schemas.openxmlformats.org/officeDocument/2006/relationships/hyperlink" Target="ca://s/?q=terme_ta2" TargetMode="External"/><Relationship Id="rId14" Type="http://schemas.openxmlformats.org/officeDocument/2006/relationships/hyperlink" Target="ca://s/?q=terme_ta4" TargetMode="External"/><Relationship Id="rId22" Type="http://schemas.openxmlformats.org/officeDocument/2006/relationships/hyperlink" Target="ca://s/?q=terme_tb2" TargetMode="External"/><Relationship Id="rId27" Type="http://schemas.openxmlformats.org/officeDocument/2006/relationships/hyperlink" Target="ca://s/?q=terme_tb8" TargetMode="External"/><Relationship Id="rId30" Type="http://schemas.openxmlformats.org/officeDocument/2006/relationships/hyperlink" Target="ca://s/?q=terme_tb11_moins_tb9" TargetMode="External"/><Relationship Id="rId35" Type="http://schemas.openxmlformats.org/officeDocument/2006/relationships/hyperlink" Target="ca://s/?q=terme_tb4" TargetMode="External"/><Relationship Id="rId43" Type="http://schemas.openxmlformats.org/officeDocument/2006/relationships/hyperlink" Target="ca://s/?q=Somme_suite_B_10" TargetMode="External"/><Relationship Id="rId48" Type="http://schemas.openxmlformats.org/officeDocument/2006/relationships/hyperlink" Target="ca://s/?q=Digamma_option_3" TargetMode="External"/><Relationship Id="rId8" Type="http://schemas.openxmlformats.org/officeDocument/2006/relationships/hyperlink" Target="ca://s/?q=terme_ta3" TargetMode="External"/><Relationship Id="rId51" Type="http://schemas.openxmlformats.org/officeDocument/2006/relationships/hyperlink" Target="ca://s/?q=Digamma_option_4" TargetMode="External"/><Relationship Id="rId3" Type="http://schemas.openxmlformats.org/officeDocument/2006/relationships/hyperlink" Target="ca://s/?q=terme_ta8" TargetMode="External"/><Relationship Id="rId12" Type="http://schemas.openxmlformats.org/officeDocument/2006/relationships/hyperlink" Target="ca://s/?q=terme_ta2" TargetMode="External"/><Relationship Id="rId17" Type="http://schemas.openxmlformats.org/officeDocument/2006/relationships/hyperlink" Target="ca://s/?q=terme_ta7" TargetMode="External"/><Relationship Id="rId25" Type="http://schemas.openxmlformats.org/officeDocument/2006/relationships/hyperlink" Target="ca://s/?q=terme_tb5" TargetMode="External"/><Relationship Id="rId33" Type="http://schemas.openxmlformats.org/officeDocument/2006/relationships/hyperlink" Target="ca://s/?q=terme_tb2" TargetMode="External"/><Relationship Id="rId38" Type="http://schemas.openxmlformats.org/officeDocument/2006/relationships/hyperlink" Target="ca://s/?q=terme_tb8" TargetMode="External"/><Relationship Id="rId46" Type="http://schemas.openxmlformats.org/officeDocument/2006/relationships/hyperlink" Target="ca://s/?q=Somme_suite_B_10" TargetMode="External"/><Relationship Id="rId20" Type="http://schemas.openxmlformats.org/officeDocument/2006/relationships/hyperlink" Target="ca://s/?q=somme_A9" TargetMode="External"/><Relationship Id="rId41" Type="http://schemas.openxmlformats.org/officeDocument/2006/relationships/hyperlink" Target="ca://s/?q=somme_B9" TargetMode="External"/><Relationship Id="rId54" Type="http://schemas.openxmlformats.org/officeDocument/2006/relationships/table" Target="../tables/table5.xml"/><Relationship Id="rId1" Type="http://schemas.openxmlformats.org/officeDocument/2006/relationships/hyperlink" Target="ca://s/?q=terme_ta10_moins_ta8" TargetMode="External"/><Relationship Id="rId6" Type="http://schemas.openxmlformats.org/officeDocument/2006/relationships/hyperlink" Target="ca://s/?q=terme_ta5" TargetMode="External"/><Relationship Id="rId15" Type="http://schemas.openxmlformats.org/officeDocument/2006/relationships/hyperlink" Target="ca://s/?q=terme_ta5" TargetMode="External"/><Relationship Id="rId23" Type="http://schemas.openxmlformats.org/officeDocument/2006/relationships/hyperlink" Target="ca://s/?q=terme_tb3" TargetMode="External"/><Relationship Id="rId28" Type="http://schemas.openxmlformats.org/officeDocument/2006/relationships/hyperlink" Target="ca://s/?q=terme_tb9" TargetMode="External"/><Relationship Id="rId36" Type="http://schemas.openxmlformats.org/officeDocument/2006/relationships/hyperlink" Target="ca://s/?q=terme_tb5" TargetMode="External"/><Relationship Id="rId49" Type="http://schemas.openxmlformats.org/officeDocument/2006/relationships/hyperlink" Target="ca://s/?q=Somme_suite_B_10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61E7-47C1-4553-8F5F-C0C4BFB7965F}">
  <dimension ref="A1:B15"/>
  <sheetViews>
    <sheetView workbookViewId="0">
      <selection sqref="A1:M1"/>
    </sheetView>
  </sheetViews>
  <sheetFormatPr baseColWidth="10" defaultRowHeight="14.4"/>
  <cols>
    <col min="1" max="1" width="37" customWidth="1"/>
    <col min="2" max="2" width="64.77734375" customWidth="1"/>
  </cols>
  <sheetData>
    <row r="1" spans="1:2" ht="23.4">
      <c r="A1" s="2" t="s">
        <v>26</v>
      </c>
      <c r="B1" s="2"/>
    </row>
    <row r="2" spans="1:2">
      <c r="A2" s="3" t="s">
        <v>27</v>
      </c>
      <c r="B2" s="3"/>
    </row>
    <row r="3" spans="1:2">
      <c r="B3" s="18"/>
    </row>
    <row r="4" spans="1:2" ht="15.6">
      <c r="A4" s="5" t="s">
        <v>28</v>
      </c>
      <c r="B4" s="19"/>
    </row>
    <row r="5" spans="1:2">
      <c r="A5" s="7" t="s">
        <v>29</v>
      </c>
      <c r="B5" s="8" t="s">
        <v>30</v>
      </c>
    </row>
    <row r="6" spans="1:2">
      <c r="A6" s="7" t="s">
        <v>31</v>
      </c>
      <c r="B6" s="8" t="s">
        <v>32</v>
      </c>
    </row>
    <row r="7" spans="1:2">
      <c r="A7" s="7" t="s">
        <v>33</v>
      </c>
      <c r="B7" s="8" t="s">
        <v>34</v>
      </c>
    </row>
    <row r="8" spans="1:2">
      <c r="A8" s="7" t="s">
        <v>35</v>
      </c>
      <c r="B8" s="8" t="s">
        <v>36</v>
      </c>
    </row>
    <row r="9" spans="1:2">
      <c r="A9" s="7" t="s">
        <v>246</v>
      </c>
      <c r="B9" s="8" t="s">
        <v>247</v>
      </c>
    </row>
    <row r="10" spans="1:2" ht="28.8">
      <c r="A10" s="7" t="s">
        <v>341</v>
      </c>
      <c r="B10" s="18" t="s">
        <v>342</v>
      </c>
    </row>
    <row r="11" spans="1:2" ht="31.2">
      <c r="A11" s="66" t="s">
        <v>379</v>
      </c>
      <c r="B11" s="67" t="s">
        <v>380</v>
      </c>
    </row>
    <row r="12" spans="1:2">
      <c r="A12" s="6" t="s">
        <v>37</v>
      </c>
      <c r="B12" s="20" t="s">
        <v>108</v>
      </c>
    </row>
    <row r="13" spans="1:2">
      <c r="A13" s="6" t="s">
        <v>38</v>
      </c>
      <c r="B13" t="s">
        <v>39</v>
      </c>
    </row>
    <row r="14" spans="1:2">
      <c r="A14" s="6" t="s">
        <v>40</v>
      </c>
      <c r="B14" t="s">
        <v>41</v>
      </c>
    </row>
    <row r="15" spans="1:2">
      <c r="A15" s="10" t="s">
        <v>42</v>
      </c>
      <c r="B15" s="11" t="s">
        <v>43</v>
      </c>
    </row>
  </sheetData>
  <mergeCells count="3">
    <mergeCell ref="A1:B1"/>
    <mergeCell ref="A2:B2"/>
    <mergeCell ref="A4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945C-9BEF-4247-A253-5B7D0D7D9E87}">
  <dimension ref="C9:N35"/>
  <sheetViews>
    <sheetView topLeftCell="D45" workbookViewId="0">
      <selection activeCell="G37" sqref="G37"/>
    </sheetView>
  </sheetViews>
  <sheetFormatPr baseColWidth="10" defaultRowHeight="14.4"/>
  <sheetData>
    <row r="9" spans="3:14">
      <c r="E9" s="1" t="s">
        <v>1</v>
      </c>
      <c r="F9" s="1"/>
      <c r="G9" s="1"/>
      <c r="H9" s="1"/>
    </row>
    <row r="10" spans="3:14">
      <c r="E10" t="s">
        <v>0</v>
      </c>
      <c r="F10">
        <v>0</v>
      </c>
      <c r="G10">
        <v>1</v>
      </c>
      <c r="H10">
        <v>2</v>
      </c>
    </row>
    <row r="11" spans="3:14">
      <c r="E11">
        <v>3</v>
      </c>
      <c r="F11">
        <v>4</v>
      </c>
      <c r="G11">
        <v>5</v>
      </c>
      <c r="H11">
        <v>6</v>
      </c>
    </row>
    <row r="12" spans="3:14">
      <c r="E12">
        <v>7</v>
      </c>
      <c r="F12">
        <v>8</v>
      </c>
      <c r="G12">
        <v>9</v>
      </c>
      <c r="H12">
        <v>10</v>
      </c>
    </row>
    <row r="13" spans="3:14"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tr">
        <f>N13</f>
        <v>Somme suite A</v>
      </c>
      <c r="N13" t="s">
        <v>12</v>
      </c>
    </row>
    <row r="14" spans="3:14"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8</v>
      </c>
      <c r="I14" t="s">
        <v>9</v>
      </c>
      <c r="J14" t="s">
        <v>13</v>
      </c>
      <c r="K14" t="s">
        <v>14</v>
      </c>
      <c r="L14" t="s">
        <v>15</v>
      </c>
      <c r="M14" t="str">
        <f>N14</f>
        <v>Somme suite B</v>
      </c>
      <c r="N14" t="s">
        <v>16</v>
      </c>
    </row>
    <row r="25" spans="3:14">
      <c r="C25" t="s">
        <v>17</v>
      </c>
    </row>
    <row r="27" spans="3:14"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K27" t="s">
        <v>10</v>
      </c>
      <c r="L27" t="s">
        <v>11</v>
      </c>
      <c r="M27" t="str">
        <f>N27</f>
        <v>Somme suite A</v>
      </c>
      <c r="N27" t="s">
        <v>12</v>
      </c>
    </row>
    <row r="28" spans="3:14"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8</v>
      </c>
      <c r="I28" t="s">
        <v>9</v>
      </c>
      <c r="K28" t="s">
        <v>14</v>
      </c>
      <c r="L28" t="s">
        <v>15</v>
      </c>
      <c r="M28" t="str">
        <f>N28</f>
        <v>Somme suite B</v>
      </c>
      <c r="N28" t="s">
        <v>16</v>
      </c>
    </row>
    <row r="30" spans="3:14">
      <c r="F30" t="s">
        <v>18</v>
      </c>
      <c r="G30" t="s">
        <v>19</v>
      </c>
    </row>
    <row r="31" spans="3:14">
      <c r="F31" t="s">
        <v>20</v>
      </c>
      <c r="G31" t="s">
        <v>21</v>
      </c>
    </row>
    <row r="32" spans="3:14">
      <c r="J32">
        <f>M34</f>
        <v>0</v>
      </c>
    </row>
    <row r="33" spans="6:10">
      <c r="F33" t="s">
        <v>22</v>
      </c>
      <c r="J33" t="s">
        <v>25</v>
      </c>
    </row>
    <row r="35" spans="6:10">
      <c r="H35" t="s">
        <v>23</v>
      </c>
      <c r="J35" t="s">
        <v>24</v>
      </c>
    </row>
  </sheetData>
  <mergeCells count="1">
    <mergeCell ref="E9:H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351C-3D82-4430-9430-D0DA59BF9B83}">
  <dimension ref="A1:G24"/>
  <sheetViews>
    <sheetView topLeftCell="A20" workbookViewId="0">
      <selection sqref="A1:G1"/>
    </sheetView>
  </sheetViews>
  <sheetFormatPr baseColWidth="10" defaultRowHeight="14.4"/>
  <cols>
    <col min="1" max="1" width="19.44140625" customWidth="1"/>
    <col min="2" max="6" width="18.5546875" customWidth="1"/>
    <col min="7" max="7" width="33.33203125" customWidth="1"/>
  </cols>
  <sheetData>
    <row r="1" spans="1:7" ht="23.4">
      <c r="A1" s="2" t="s">
        <v>44</v>
      </c>
      <c r="B1" s="2"/>
      <c r="C1" s="2"/>
      <c r="D1" s="2"/>
      <c r="E1" s="2"/>
      <c r="F1" s="2"/>
      <c r="G1" s="2"/>
    </row>
    <row r="2" spans="1:7">
      <c r="A2" s="3" t="s">
        <v>45</v>
      </c>
      <c r="B2" s="3"/>
      <c r="C2" s="3"/>
      <c r="D2" s="3"/>
      <c r="E2" s="3"/>
      <c r="F2" s="3"/>
      <c r="G2" s="3"/>
    </row>
    <row r="3" spans="1:7">
      <c r="G3" s="18"/>
    </row>
    <row r="4" spans="1:7" ht="15.6">
      <c r="A4" s="5" t="s">
        <v>46</v>
      </c>
      <c r="B4" s="5"/>
      <c r="C4" s="5"/>
      <c r="D4" s="5"/>
      <c r="E4" s="5"/>
      <c r="F4" s="5"/>
      <c r="G4" s="19"/>
    </row>
    <row r="5" spans="1:7">
      <c r="A5" t="s">
        <v>37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s="18" t="s">
        <v>52</v>
      </c>
    </row>
    <row r="6" spans="1:7">
      <c r="A6" s="20" t="s">
        <v>108</v>
      </c>
      <c r="B6" s="12">
        <v>3</v>
      </c>
      <c r="C6" s="12">
        <v>10</v>
      </c>
      <c r="D6" s="12">
        <v>6</v>
      </c>
      <c r="E6" s="12">
        <v>8</v>
      </c>
      <c r="F6" s="12">
        <v>-1</v>
      </c>
      <c r="G6" s="18" t="s">
        <v>53</v>
      </c>
    </row>
    <row r="7" spans="1:7">
      <c r="G7" s="18"/>
    </row>
    <row r="8" spans="1:7">
      <c r="G8" s="18"/>
    </row>
    <row r="9" spans="1:7" ht="15.6">
      <c r="A9" s="5" t="s">
        <v>54</v>
      </c>
      <c r="B9" s="5"/>
      <c r="C9" s="5"/>
      <c r="D9" s="5"/>
      <c r="E9" s="5"/>
      <c r="F9" s="5"/>
      <c r="G9" s="19"/>
    </row>
    <row r="10" spans="1:7">
      <c r="A10" t="s">
        <v>37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s="18" t="s">
        <v>60</v>
      </c>
    </row>
    <row r="11" spans="1:7">
      <c r="A11" s="20" t="s">
        <v>108</v>
      </c>
      <c r="B11">
        <f>SUMIFS(tblConvolution[Valeur],tblConvolution[Rapport],A11,tblConvolution[Suite],"A")</f>
        <v>79824</v>
      </c>
      <c r="C11">
        <f>SUMIFS(tblConvolution[Valeur],tblConvolution[Rapport],A11,tblConvolution[Suite],"B")</f>
        <v>238746</v>
      </c>
      <c r="D11">
        <f>B11+_xlfn.XLOOKUP(A11,tblRegles[Rapport],tblRegles[Signe Digamma])*_xlfn.XLOOKUP(A11,tblRegles[Rapport],tblRegles[k])^_xlfn.XLOOKUP(A11,tblRegles[Rapport],tblRegles[Position Digamma])</f>
        <v>73263</v>
      </c>
      <c r="E11">
        <f>(C11-D11)/_xlfn.XLOOKUP(A11,tblRegles[Rapport],tblRegles[k])^_xlfn.XLOOKUP(A11,tblRegles[Rapport],tblRegles[Exp reconstruction])</f>
        <v>227</v>
      </c>
      <c r="F11" t="str" cm="1">
        <f t="array" ref="F11">_xlfn.LET(_xlpm.p,E11,IF(OR(_xlpm.p&lt;&gt;INT(_xlpm.p),_xlpm.p&lt;2),"Non",IF(SUM(--(MOD(_xlpm.p,_xlfn.SEQUENCE(_xlpm.p))=0))=2,"Oui","Non")))</f>
        <v>Oui</v>
      </c>
      <c r="G11" s="18" cm="1">
        <f t="array" ref="G11">IF(F11&lt;&gt;"Oui","",_xlfn.LET(_xlpm.p,INT(E11),_xlpm.q,_xlfn.SEQUENCE(_xlpm.p),_xlpm.d,TRANSPOSE(_xlfn.SEQUENCE(_xlpm.p)),_xlpm.cnt,MMULT(--(MOD(_xlpm.q,_xlpm.d)=0),_xlfn.SEQUENCE(_xlpm.p,,1,0)),SUM(--(_xlpm.cnt=2))))</f>
        <v>49</v>
      </c>
    </row>
    <row r="12" spans="1:7" ht="28.8">
      <c r="A12" t="s">
        <v>61</v>
      </c>
      <c r="G12" s="18" t="s">
        <v>62</v>
      </c>
    </row>
    <row r="15" spans="1:7">
      <c r="A15" s="4" t="s">
        <v>187</v>
      </c>
      <c r="B15" s="4"/>
      <c r="C15" s="4"/>
      <c r="D15" s="4"/>
      <c r="E15" s="4"/>
      <c r="F15" s="4"/>
      <c r="G15" s="4"/>
    </row>
    <row r="16" spans="1:7">
      <c r="A16" t="s">
        <v>47</v>
      </c>
      <c r="B16" t="s">
        <v>188</v>
      </c>
      <c r="C16" t="s">
        <v>189</v>
      </c>
      <c r="D16" t="s">
        <v>190</v>
      </c>
      <c r="E16" t="s">
        <v>191</v>
      </c>
      <c r="F16" t="s">
        <v>192</v>
      </c>
      <c r="G16" t="s">
        <v>52</v>
      </c>
    </row>
    <row r="17" spans="1:7">
      <c r="A17" s="12">
        <v>2</v>
      </c>
      <c r="B17" s="52">
        <v>3.25</v>
      </c>
      <c r="C17" s="52">
        <v>6.5</v>
      </c>
      <c r="D17" s="52">
        <v>2</v>
      </c>
      <c r="E17" s="52">
        <v>66</v>
      </c>
      <c r="F17" s="9">
        <v>46024</v>
      </c>
      <c r="G17" t="s">
        <v>193</v>
      </c>
    </row>
    <row r="18" spans="1:7">
      <c r="A18" s="12">
        <v>3</v>
      </c>
      <c r="B18" s="52">
        <v>8.1111111111111107</v>
      </c>
      <c r="C18" s="52">
        <v>24.333333333333332</v>
      </c>
      <c r="D18" s="52">
        <v>1.5</v>
      </c>
      <c r="E18" s="52">
        <v>730.5</v>
      </c>
      <c r="F18" s="9">
        <v>46025</v>
      </c>
      <c r="G18" t="s">
        <v>193</v>
      </c>
    </row>
    <row r="19" spans="1:7">
      <c r="A19" s="12">
        <v>4</v>
      </c>
      <c r="B19" s="52">
        <v>15.0625</v>
      </c>
      <c r="C19" s="52">
        <v>60.25</v>
      </c>
      <c r="D19" s="52">
        <v>1.3333333333333333</v>
      </c>
      <c r="E19" s="52">
        <v>4097.333333333333</v>
      </c>
      <c r="F19" s="9">
        <v>46026</v>
      </c>
      <c r="G19" t="s">
        <v>193</v>
      </c>
    </row>
    <row r="20" spans="1:7">
      <c r="F20" t="s">
        <v>194</v>
      </c>
      <c r="G20" t="s">
        <v>195</v>
      </c>
    </row>
    <row r="22" spans="1:7">
      <c r="A22" s="4" t="s">
        <v>196</v>
      </c>
      <c r="B22" s="4"/>
      <c r="C22" s="4"/>
      <c r="D22" s="4"/>
      <c r="E22" s="4"/>
      <c r="F22" s="4"/>
      <c r="G22" s="4"/>
    </row>
    <row r="23" spans="1:7" ht="28.8">
      <c r="A23" s="18" t="s">
        <v>197</v>
      </c>
      <c r="B23" s="18" t="s">
        <v>198</v>
      </c>
      <c r="C23" s="18" t="s">
        <v>199</v>
      </c>
      <c r="D23" s="18" t="s">
        <v>200</v>
      </c>
      <c r="E23" s="18"/>
      <c r="F23" s="18"/>
      <c r="G23" s="18"/>
    </row>
    <row r="24" spans="1:7" ht="28.8">
      <c r="A24" s="18" t="s">
        <v>201</v>
      </c>
      <c r="B24" s="18" t="s">
        <v>202</v>
      </c>
      <c r="C24" s="18" t="s">
        <v>203</v>
      </c>
      <c r="D24" s="18" t="s">
        <v>204</v>
      </c>
      <c r="E24" s="18" t="s">
        <v>205</v>
      </c>
      <c r="F24" s="18" t="s">
        <v>206</v>
      </c>
      <c r="G24" s="18"/>
    </row>
  </sheetData>
  <mergeCells count="6">
    <mergeCell ref="A1:G1"/>
    <mergeCell ref="A2:G2"/>
    <mergeCell ref="A4:G4"/>
    <mergeCell ref="A9:G9"/>
    <mergeCell ref="A15:G15"/>
    <mergeCell ref="A22:G2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6A47E-203C-4AB5-84F9-8703FEA12975}">
  <dimension ref="A1:M28"/>
  <sheetViews>
    <sheetView topLeftCell="A55" workbookViewId="0">
      <selection sqref="A1:M1"/>
    </sheetView>
  </sheetViews>
  <sheetFormatPr baseColWidth="10" defaultRowHeight="14.4"/>
  <cols>
    <col min="1" max="1" width="13.88671875" customWidth="1"/>
    <col min="2" max="3" width="19.44140625" customWidth="1"/>
    <col min="4" max="5" width="24.109375" customWidth="1"/>
    <col min="6" max="6" width="3.6640625" customWidth="1"/>
    <col min="7" max="7" width="20.33203125" customWidth="1"/>
    <col min="8" max="8" width="29.6640625" customWidth="1"/>
    <col min="9" max="13" width="18.5546875" customWidth="1"/>
  </cols>
  <sheetData>
    <row r="1" spans="1:13" ht="30" customHeight="1">
      <c r="A1" s="2" t="s">
        <v>207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45" t="s">
        <v>208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4" spans="1:13" ht="15.6">
      <c r="A4" s="5" t="s">
        <v>209</v>
      </c>
      <c r="B4" s="5"/>
      <c r="C4" s="5"/>
      <c r="D4" s="5"/>
      <c r="E4" s="5"/>
      <c r="G4" s="5" t="s">
        <v>234</v>
      </c>
      <c r="H4" s="5"/>
      <c r="I4" s="5"/>
      <c r="J4" s="5"/>
      <c r="K4" s="5"/>
      <c r="L4" s="5"/>
      <c r="M4" s="5"/>
    </row>
    <row r="5" spans="1:13">
      <c r="A5" s="30" t="s">
        <v>210</v>
      </c>
      <c r="B5" s="30" t="s">
        <v>72</v>
      </c>
      <c r="C5" s="30"/>
      <c r="G5" s="30" t="s">
        <v>144</v>
      </c>
      <c r="H5" s="30" t="s">
        <v>91</v>
      </c>
      <c r="I5" s="30" t="s">
        <v>92</v>
      </c>
      <c r="J5" s="30" t="s">
        <v>148</v>
      </c>
      <c r="K5" s="30" t="s">
        <v>58</v>
      </c>
      <c r="L5" s="30" t="s">
        <v>182</v>
      </c>
      <c r="M5" s="30" t="s">
        <v>59</v>
      </c>
    </row>
    <row r="6" spans="1:13">
      <c r="A6" t="s">
        <v>47</v>
      </c>
      <c r="B6" s="54">
        <v>3</v>
      </c>
      <c r="C6" t="s">
        <v>216</v>
      </c>
      <c r="G6">
        <v>1</v>
      </c>
      <c r="H6" s="12">
        <v>7</v>
      </c>
      <c r="I6" s="12">
        <v>1</v>
      </c>
      <c r="J6" s="13" cm="1">
        <f t="array" ref="J6">IF($B$7&lt;8,NA(),$B$14+I6*INDEX(_xlfn.ANCHORARRAY($B$19),H6))</f>
        <v>82011</v>
      </c>
      <c r="K6" s="13">
        <f>IFERROR(($C$14-J6)/$B$6^6,NA())</f>
        <v>215</v>
      </c>
      <c r="L6" t="str">
        <f>IFERROR(IF(K6=INT(K6),"Oui","Non"),"Non")</f>
        <v>Oui</v>
      </c>
      <c r="M6" t="str" cm="1">
        <f t="array" ref="M6">_xlfn.LET(_xlpm.p,K6,IF(OR(L6&lt;&gt;"Oui",_xlpm.p&lt;2),"Non",IF(_xlpm.p=2,"Oui",IF(MOD(_xlpm.p,2)=0,"Non",_xlfn.LET(_xlpm.m,MAX(1,INT((SQRT(_xlpm.p)-1)/2)),IF(SUM(--(MOD(_xlpm.p,_xlfn.SEQUENCE(_xlpm.m,1,3,2))=0))=0,"Oui","Non"))))))</f>
        <v>Non</v>
      </c>
    </row>
    <row r="7" spans="1:13">
      <c r="A7" t="s">
        <v>48</v>
      </c>
      <c r="B7" s="54">
        <v>10</v>
      </c>
      <c r="C7" t="s">
        <v>217</v>
      </c>
      <c r="G7">
        <v>2</v>
      </c>
      <c r="H7" s="12">
        <v>7</v>
      </c>
      <c r="I7" s="12">
        <v>-1</v>
      </c>
      <c r="J7" s="13" cm="1">
        <f t="array" ref="J7">IF($B$7&lt;8,NA(),$B$14+I7*INDEX(_xlfn.ANCHORARRAY($B$19),H7))</f>
        <v>77637</v>
      </c>
      <c r="K7" s="13">
        <f>IFERROR(($C$14-J7)/$B$6^6,NA())</f>
        <v>221</v>
      </c>
      <c r="L7" t="str">
        <f>IFERROR(IF(K7=INT(K7),"Oui","Non"),"Non")</f>
        <v>Oui</v>
      </c>
      <c r="M7" t="str" cm="1">
        <f t="array" ref="M7">_xlfn.LET(_xlpm.p,K7,IF(OR(L7&lt;&gt;"Oui",_xlpm.p&lt;2),"Non",IF(_xlpm.p=2,"Oui",IF(MOD(_xlpm.p,2)=0,"Non",_xlfn.LET(_xlpm.m,MAX(1,INT((SQRT(_xlpm.p)-1)/2)),IF(SUM(--(MOD(_xlpm.p,_xlfn.SEQUENCE(_xlpm.m,1,3,2))=0))=0,"Oui","Non"))))))</f>
        <v>Non</v>
      </c>
    </row>
    <row r="8" spans="1:13">
      <c r="A8" t="s">
        <v>211</v>
      </c>
      <c r="B8" s="53" t="s">
        <v>212</v>
      </c>
      <c r="C8" t="s">
        <v>218</v>
      </c>
      <c r="G8">
        <v>3</v>
      </c>
      <c r="H8" s="12">
        <v>8</v>
      </c>
      <c r="I8" s="12">
        <v>1</v>
      </c>
      <c r="J8" s="13" cm="1">
        <f t="array" ref="J8">IF($B$7&lt;8,NA(),$B$14+I8*INDEX(_xlfn.ANCHORARRAY($B$19),H8))</f>
        <v>86385</v>
      </c>
      <c r="K8" s="13">
        <f>IFERROR(($C$14-J8)/$B$6^6,NA())</f>
        <v>209</v>
      </c>
      <c r="L8" t="str">
        <f>IFERROR(IF(K8=INT(K8),"Oui","Non"),"Non")</f>
        <v>Oui</v>
      </c>
      <c r="M8" t="str" cm="1">
        <f t="array" ref="M8">_xlfn.LET(_xlpm.p,K8,IF(OR(L8&lt;&gt;"Oui",_xlpm.p&lt;2),"Non",IF(_xlpm.p=2,"Oui",IF(MOD(_xlpm.p,2)=0,"Non",_xlfn.LET(_xlpm.m,MAX(1,INT((SQRT(_xlpm.p)-1)/2)),IF(SUM(--(MOD(_xlpm.p,_xlfn.SEQUENCE(_xlpm.m,1,3,2))=0))=0,"Oui","Non"))))))</f>
        <v>Non</v>
      </c>
    </row>
    <row r="9" spans="1:13">
      <c r="A9" t="s">
        <v>213</v>
      </c>
      <c r="B9" s="53" t="s">
        <v>214</v>
      </c>
      <c r="C9" t="s">
        <v>219</v>
      </c>
      <c r="G9">
        <v>4</v>
      </c>
      <c r="H9" s="12">
        <v>8</v>
      </c>
      <c r="I9" s="12">
        <v>-1</v>
      </c>
      <c r="J9" s="13" cm="1">
        <f t="array" ref="J9">IF($B$7&lt;8,NA(),$B$14+I9*INDEX(_xlfn.ANCHORARRAY($B$19),H9))</f>
        <v>73263</v>
      </c>
      <c r="K9" s="13">
        <f>IFERROR(($C$14-J9)/$B$6^6,NA())</f>
        <v>227</v>
      </c>
      <c r="L9" t="str">
        <f>IFERROR(IF(K9=INT(K9),"Oui","Non"),"Non")</f>
        <v>Oui</v>
      </c>
      <c r="M9" t="str" cm="1">
        <f t="array" ref="M9">_xlfn.LET(_xlpm.p,K9,IF(OR(L9&lt;&gt;"Oui",_xlpm.p&lt;2),"Non",IF(_xlpm.p=2,"Oui",IF(MOD(_xlpm.p,2)=0,"Non",_xlfn.LET(_xlpm.m,MAX(1,INT((SQRT(_xlpm.p)-1)/2)),IF(SUM(--(MOD(_xlpm.p,_xlfn.SEQUENCE(_xlpm.m,1,3,2))=0))=0,"Oui","Non"))))))</f>
        <v>Oui</v>
      </c>
    </row>
    <row r="10" spans="1:13">
      <c r="A10" t="s">
        <v>215</v>
      </c>
      <c r="B10" s="53">
        <f>B6</f>
        <v>3</v>
      </c>
      <c r="C10" t="s">
        <v>220</v>
      </c>
      <c r="G10" s="56" t="s">
        <v>235</v>
      </c>
      <c r="H10" s="56">
        <f>COUNTIF(M6:M9,"Oui")</f>
        <v>1</v>
      </c>
      <c r="I10" s="57" t="str">
        <f>IF(H10=0,"Aucun candidat",IF(H10=1,"Sélection unique",H10&amp;" candidats : critère supplémentaire requis"))</f>
        <v>Sélection unique</v>
      </c>
      <c r="J10" s="57"/>
      <c r="K10" s="57"/>
      <c r="L10" s="57"/>
      <c r="M10" s="57"/>
    </row>
    <row r="12" spans="1:13" ht="15.6">
      <c r="A12" s="5" t="s">
        <v>221</v>
      </c>
      <c r="B12" s="5"/>
      <c r="C12" s="5"/>
      <c r="D12" s="5"/>
      <c r="E12" s="5"/>
      <c r="G12" s="5" t="s">
        <v>236</v>
      </c>
      <c r="H12" s="5"/>
      <c r="I12" s="5"/>
      <c r="J12" s="5"/>
      <c r="K12" s="5"/>
      <c r="L12" s="5"/>
      <c r="M12" s="5"/>
    </row>
    <row r="13" spans="1:13">
      <c r="A13" s="30" t="s">
        <v>222</v>
      </c>
      <c r="B13" s="30" t="s">
        <v>223</v>
      </c>
      <c r="C13" s="30" t="s">
        <v>224</v>
      </c>
      <c r="D13" s="30" t="s">
        <v>225</v>
      </c>
      <c r="E13" s="30" t="s">
        <v>226</v>
      </c>
      <c r="G13" s="30" t="s">
        <v>237</v>
      </c>
      <c r="H13" s="30" t="s">
        <v>238</v>
      </c>
    </row>
    <row r="14" spans="1:13">
      <c r="A14" t="s">
        <v>227</v>
      </c>
      <c r="B14" s="13">
        <f>SUM(_xlfn.ANCHORARRAY(B19))</f>
        <v>79824</v>
      </c>
      <c r="C14" s="13">
        <f>SUM(_xlfn.ANCHORARRAY(C19))</f>
        <v>238746</v>
      </c>
      <c r="D14" s="55"/>
      <c r="E14" s="55"/>
      <c r="G14" t="s">
        <v>239</v>
      </c>
      <c r="H14" t="str">
        <f>"1/"&amp;B6</f>
        <v>1/3</v>
      </c>
    </row>
    <row r="15" spans="1:13">
      <c r="A15" t="s">
        <v>228</v>
      </c>
      <c r="B15" s="60">
        <f>_xlfn.LET(_xlpm.k,$B$6,_xlpm.n,$B$7,_xlpm.a,_xlfn.XLOOKUP(_xlpm.k,tblConstantes[k],tblConstantes[αA],""),_xlpm.o,_xlfn.XLOOKUP(_xlpm.k,tblConstantes[k],tblConstantes[offset A],""),IF(_xlpm.a="","",IF($B$9="Positif",(_xlpm.a/2)*_xlpm.k^_xlpm.n-_xlpm.o,_xlpm.a/_xlpm.k^_xlpm.n-_xlpm.o)))</f>
        <v>239475</v>
      </c>
      <c r="C15" s="60">
        <f>_xlfn.LET(_xlpm.k,$B$6,_xlpm.n,$B$7,_xlpm.a,_xlfn.XLOOKUP(_xlpm.k,tblConstantes[k],tblConstantes[αB],""),_xlpm.o,_xlfn.XLOOKUP(_xlpm.k,tblConstantes[k],tblConstantes[offset B],""),IF(_xlpm.a="","",IF($B$9="Positif",(_xlpm.a/2)*_xlpm.k^_xlpm.n-_xlpm.o,_xlpm.a/_xlpm.k^_xlpm.n-_xlpm.o)))</f>
        <v>717699</v>
      </c>
      <c r="D15" s="60">
        <f>IF(B15="","",B14-B15)</f>
        <v>-159651</v>
      </c>
      <c r="E15" s="60">
        <f>IF(C15="","",C14-C15)</f>
        <v>-478953</v>
      </c>
      <c r="G15" t="s">
        <v>240</v>
      </c>
      <c r="H15" s="18" t="str">
        <f>IF(ISNUMBER(_xlfn.XMATCH(B6,tblConstantes[k])),"Oui","Non — compléter tblConstantes")</f>
        <v>Oui</v>
      </c>
    </row>
    <row r="16" spans="1:13" ht="28.8">
      <c r="G16" t="s">
        <v>241</v>
      </c>
      <c r="H16" s="18" t="str">
        <f>IF(B7&lt;=7,"Cas 1 à 7 : "&amp;B8,"Cas stabilisé n≥8")</f>
        <v>Cas stabilisé n≥8</v>
      </c>
    </row>
    <row r="17" spans="1:13" ht="15.6">
      <c r="A17" s="5" t="s">
        <v>229</v>
      </c>
      <c r="B17" s="5"/>
      <c r="C17" s="5"/>
      <c r="D17" s="5"/>
      <c r="E17" s="5"/>
      <c r="G17" t="s">
        <v>242</v>
      </c>
      <c r="H17" s="58">
        <f>B6^6</f>
        <v>729</v>
      </c>
    </row>
    <row r="18" spans="1:13" ht="28.8">
      <c r="A18" s="30" t="s">
        <v>91</v>
      </c>
      <c r="B18" s="30" t="s">
        <v>230</v>
      </c>
      <c r="C18" s="30" t="s">
        <v>231</v>
      </c>
      <c r="D18" s="30" t="s">
        <v>232</v>
      </c>
      <c r="E18" s="30" t="s">
        <v>233</v>
      </c>
      <c r="G18" t="s">
        <v>243</v>
      </c>
      <c r="H18" s="18" t="str">
        <f>IF(B7&lt;8,"Construction active; Digamma non défini pour n&lt;8",IF(H10=1,"Résultat unique","Essai-erreur actif; "&amp;H10&amp;" candidat(s) premier(s)"))</f>
        <v>Résultat unique</v>
      </c>
    </row>
    <row r="19" spans="1:13">
      <c r="A19" cm="1">
        <f t="array" ref="A19:A28">_xlfn.SEQUENCE($B$7)</f>
        <v>1</v>
      </c>
      <c r="B19" s="13" cm="1">
        <f t="array" ref="B19:B28">_xlfn.LET(_xlpm.i,_xlfn.ANCHORARRAY(A19),_xlpm.n,$B$7,_xlpm.a,$B$10,_xlpm.r,$B$6,_xlpm.small,$B$8,IF(_xlpm.n&lt;=7,IF(_xlpm.small="XIII simple",_xlpm.a*_xlpm.r^(_xlpm.i-1),IF(_xlpm.i=1,_xlpm.a,IF((_xlpm.n=2)*(_xlpm.i=2),_xlpm.a*(_xlpm.r-1/_xlpm.r),IF((_xlpm.n&gt;=3)*(_xlpm.i&lt;=_xlpm.n-2),_xlpm.a*_xlpm.r^(_xlpm.i-1),IF((_xlpm.n&gt;=3)*(_xlpm.i=_xlpm.n-1),_xlpm.a*_xlpm.r^(_xlpm.n-3)*(_xlpm.r-1/_xlpm.r),IF((_xlpm.n&gt;=3)*(_xlpm.i=_xlpm.n),_xlpm.a*_xlpm.r^(_xlpm.n-3)*(_xlpm.r-1/_xlpm.r)*_xlpm.r,0)))))),IF(_xlpm.i=1,_xlpm.a,IF(_xlpm.i&lt;=_xlpm.n-2,_xlpm.a*_xlpm.r^(_xlpm.i-1),IF(_xlpm.i=_xlpm.n-1,(_xlpm.r-1/_xlpm.r)*(_xlpm.a*_xlpm.r^(_xlpm.n-3)),IF(_xlpm.i=_xlpm.n,(_xlpm.r-1/_xlpm.r)*(_xlpm.a*_xlpm.r^(_xlpm.n-2)),0))))))</f>
        <v>3</v>
      </c>
      <c r="C19" s="13" cm="1">
        <f t="array" ref="C19:C28">_xlfn.LET(_xlpm.i,_xlfn.ANCHORARRAY(A19),_xlpm.n,$B$7,_xlpm.a,$B$10,_xlpm.r,$B$6,_xlpm.small,$B$8,IF(_xlpm.n&lt;=7,_xlfn.ANCHORARRAY(B19),IF(_xlpm.i=1,_xlpm.a,IF(_xlpm.i&lt;=5,_xlpm.a*_xlpm.r^(_xlpm.i-1),IF(_xlpm.i=6,_xlpm.a*_xlpm.r^6,IF(_xlpm.i&lt;=_xlpm.n-2,_xlpm.a*_xlpm.r^_xlpm.i,IF(_xlpm.i=_xlpm.n-1,(_xlpm.r-1/_xlpm.r)*(_xlpm.a*_xlpm.r^(_xlpm.n-2)),IF(_xlpm.i=_xlpm.n,(_xlpm.r-1/_xlpm.r)*(_xlpm.a*_xlpm.r^(_xlpm.n-1)),0))))))))</f>
        <v>3</v>
      </c>
      <c r="D19" t="str" cm="1">
        <f t="array" ref="D19:D28">_xlfn.LET(_xlpm.i,_xlfn.ANCHORARRAY(A19),_xlpm.n,$B$7,IF(_xlpm.n&lt;=7,IF($B$8="XIII simple","Progression simple","XII cas terminal"),IF(_xlpm.i&lt;=_xlpm.n-2,"Progression simple",IF(_xlpm.i=_xlpm.n-1,"Avant-dernier Savard","Dernier Savard"))))</f>
        <v>Progression simple</v>
      </c>
      <c r="E19" t="str" cm="1">
        <f t="array" ref="E19:E28">_xlfn.LET(_xlpm.i,_xlfn.ANCHORARRAY(A19),_xlpm.n,$B$7,IF(_xlpm.n&lt;=7,"Identique à A",IF(_xlpm.i&lt;=5,"Progression simple",IF(_xlpm.i=6,"Saut Zêta",IF(_xlpm.i&lt;=_xlpm.n-2,"Progression décalée",IF(_xlpm.i=_xlpm.n-1,"Avant-dernier Savard","Dernier Savard"))))))</f>
        <v>Progression simple</v>
      </c>
    </row>
    <row r="20" spans="1:13" ht="15.6">
      <c r="A20">
        <v>2</v>
      </c>
      <c r="B20">
        <v>9</v>
      </c>
      <c r="C20">
        <v>9</v>
      </c>
      <c r="D20" t="str">
        <v>Progression simple</v>
      </c>
      <c r="E20" t="str">
        <v>Progression simple</v>
      </c>
      <c r="G20" s="5" t="s">
        <v>244</v>
      </c>
      <c r="H20" s="5"/>
      <c r="I20" s="5"/>
      <c r="J20" s="5"/>
      <c r="K20" s="5"/>
      <c r="L20" s="5"/>
      <c r="M20" s="5"/>
    </row>
    <row r="21" spans="1:13" ht="48" customHeight="1">
      <c r="A21">
        <v>3</v>
      </c>
      <c r="B21">
        <v>27</v>
      </c>
      <c r="C21">
        <v>27</v>
      </c>
      <c r="D21" t="str">
        <v>Progression simple</v>
      </c>
      <c r="E21" t="str">
        <v>Progression simple</v>
      </c>
      <c r="G21" s="59" t="s">
        <v>245</v>
      </c>
      <c r="H21" s="59"/>
      <c r="I21" s="59"/>
      <c r="J21" s="59"/>
      <c r="K21" s="59"/>
      <c r="L21" s="59"/>
      <c r="M21" s="59"/>
    </row>
    <row r="22" spans="1:13" ht="48" customHeight="1">
      <c r="A22">
        <v>4</v>
      </c>
      <c r="B22">
        <v>81</v>
      </c>
      <c r="C22">
        <v>81</v>
      </c>
      <c r="D22" t="str">
        <v>Progression simple</v>
      </c>
      <c r="E22" t="str">
        <v>Progression simple</v>
      </c>
      <c r="G22" s="59"/>
      <c r="H22" s="59"/>
      <c r="I22" s="59"/>
      <c r="J22" s="59"/>
      <c r="K22" s="59"/>
      <c r="L22" s="59"/>
      <c r="M22" s="59"/>
    </row>
    <row r="23" spans="1:13" ht="48" customHeight="1">
      <c r="A23">
        <v>5</v>
      </c>
      <c r="B23">
        <v>243</v>
      </c>
      <c r="C23">
        <v>243</v>
      </c>
      <c r="D23" t="str">
        <v>Progression simple</v>
      </c>
      <c r="E23" t="str">
        <v>Progression simple</v>
      </c>
      <c r="G23" s="59"/>
      <c r="H23" s="59"/>
      <c r="I23" s="59"/>
      <c r="J23" s="59"/>
      <c r="K23" s="59"/>
      <c r="L23" s="59"/>
      <c r="M23" s="59"/>
    </row>
    <row r="24" spans="1:13">
      <c r="A24">
        <v>6</v>
      </c>
      <c r="B24">
        <v>729</v>
      </c>
      <c r="C24">
        <v>2187</v>
      </c>
      <c r="D24" t="str">
        <v>Progression simple</v>
      </c>
      <c r="E24" t="str">
        <v>Saut Zêta</v>
      </c>
    </row>
    <row r="25" spans="1:13">
      <c r="A25">
        <v>7</v>
      </c>
      <c r="B25">
        <v>2187</v>
      </c>
      <c r="C25">
        <v>6561</v>
      </c>
      <c r="D25" t="str">
        <v>Progression simple</v>
      </c>
      <c r="E25" t="str">
        <v>Progression décalée</v>
      </c>
    </row>
    <row r="26" spans="1:13">
      <c r="A26">
        <v>8</v>
      </c>
      <c r="B26">
        <v>6561</v>
      </c>
      <c r="C26">
        <v>19683</v>
      </c>
      <c r="D26" t="str">
        <v>Progression simple</v>
      </c>
      <c r="E26" t="str">
        <v>Progression décalée</v>
      </c>
    </row>
    <row r="27" spans="1:13">
      <c r="A27">
        <v>9</v>
      </c>
      <c r="B27">
        <v>17496</v>
      </c>
      <c r="C27">
        <v>52488</v>
      </c>
      <c r="D27" t="str">
        <v>Avant-dernier Savard</v>
      </c>
      <c r="E27" t="str">
        <v>Avant-dernier Savard</v>
      </c>
    </row>
    <row r="28" spans="1:13">
      <c r="A28">
        <v>10</v>
      </c>
      <c r="B28">
        <v>52488</v>
      </c>
      <c r="C28">
        <v>157464</v>
      </c>
      <c r="D28" t="str">
        <v>Dernier Savard</v>
      </c>
      <c r="E28" t="str">
        <v>Dernier Savard</v>
      </c>
    </row>
  </sheetData>
  <mergeCells count="10">
    <mergeCell ref="G20:M20"/>
    <mergeCell ref="G21:M23"/>
    <mergeCell ref="A1:M1"/>
    <mergeCell ref="A2:M2"/>
    <mergeCell ref="A4:E4"/>
    <mergeCell ref="A12:E12"/>
    <mergeCell ref="A17:E17"/>
    <mergeCell ref="G4:M4"/>
    <mergeCell ref="I10:M10"/>
    <mergeCell ref="G12:M12"/>
  </mergeCells>
  <dataValidations count="4">
    <dataValidation type="list" allowBlank="1" showInputMessage="1" showErrorMessage="1" sqref="B8" xr:uid="{9A752E94-3376-4093-95AE-421F59CEF954}">
      <formula1>"XIII simple,XII terminal"</formula1>
    </dataValidation>
    <dataValidation type="list" allowBlank="1" showInputMessage="1" showErrorMessage="1" sqref="B9" xr:uid="{F9AA75FA-DF81-4DBE-BC60-0C5A0D7BBCD5}">
      <formula1>"Positif,Négatif"</formula1>
    </dataValidation>
    <dataValidation type="whole" operator="greaterThanOrEqual" allowBlank="1" showInputMessage="1" showErrorMessage="1" sqref="B6" xr:uid="{CBCC3B25-A0B4-4D7A-9172-BEFEE36507C9}">
      <formula1>2</formula1>
    </dataValidation>
    <dataValidation type="whole" operator="greaterThanOrEqual" allowBlank="1" showInputMessage="1" showErrorMessage="1" sqref="B7" xr:uid="{69584038-BC0A-4186-AF4E-385B6002E1D5}">
      <formula1>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5689-2CBD-436C-A9CD-BC6328506949}">
  <dimension ref="A1:G49"/>
  <sheetViews>
    <sheetView topLeftCell="A10" workbookViewId="0">
      <selection sqref="A1:M1"/>
    </sheetView>
  </sheetViews>
  <sheetFormatPr baseColWidth="10" defaultRowHeight="14.4"/>
  <cols>
    <col min="1" max="1" width="13" customWidth="1"/>
    <col min="2" max="3" width="23.109375" customWidth="1"/>
    <col min="4" max="4" width="26.88671875" customWidth="1"/>
    <col min="5" max="5" width="23.109375" customWidth="1"/>
    <col min="6" max="7" width="13.88671875" customWidth="1"/>
  </cols>
  <sheetData>
    <row r="1" spans="1:7" ht="30" customHeight="1">
      <c r="A1" s="2" t="s">
        <v>311</v>
      </c>
      <c r="B1" s="2"/>
      <c r="C1" s="2"/>
      <c r="D1" s="2"/>
      <c r="E1" s="2"/>
      <c r="F1" s="2"/>
      <c r="G1" s="2"/>
    </row>
    <row r="2" spans="1:7" ht="34.049999999999997" customHeight="1">
      <c r="A2" s="45" t="s">
        <v>312</v>
      </c>
      <c r="B2" s="45"/>
      <c r="C2" s="45"/>
      <c r="D2" s="45"/>
      <c r="E2" s="45"/>
      <c r="F2" s="45"/>
      <c r="G2" s="45"/>
    </row>
    <row r="4" spans="1:7" ht="15.6">
      <c r="A4" s="5" t="s">
        <v>313</v>
      </c>
      <c r="B4" s="5"/>
      <c r="C4" s="5"/>
      <c r="D4" s="5" t="s">
        <v>321</v>
      </c>
      <c r="E4" s="5"/>
      <c r="F4" s="5"/>
      <c r="G4" s="5"/>
    </row>
    <row r="5" spans="1:7">
      <c r="A5" s="30" t="s">
        <v>314</v>
      </c>
      <c r="B5" s="30" t="s">
        <v>72</v>
      </c>
      <c r="C5" s="30" t="s">
        <v>315</v>
      </c>
      <c r="D5" s="30" t="s">
        <v>222</v>
      </c>
      <c r="E5" s="30" t="s">
        <v>238</v>
      </c>
      <c r="F5" s="30"/>
      <c r="G5" s="30"/>
    </row>
    <row r="6" spans="1:7">
      <c r="A6" t="s">
        <v>47</v>
      </c>
      <c r="B6" s="54">
        <v>12</v>
      </c>
      <c r="C6" t="s">
        <v>316</v>
      </c>
      <c r="D6" t="s">
        <v>322</v>
      </c>
      <c r="E6" s="61">
        <f>IF(OR($B$6="",$B$7=""),"",SUM(_xlfn.ANCHORARRAY(C29)))</f>
        <v>1.6691750593721436E+16</v>
      </c>
      <c r="F6" s="1"/>
      <c r="G6" s="1"/>
    </row>
    <row r="7" spans="1:7">
      <c r="A7" t="s">
        <v>48</v>
      </c>
      <c r="B7" s="54">
        <v>15</v>
      </c>
      <c r="C7" t="s">
        <v>317</v>
      </c>
      <c r="D7" t="s">
        <v>323</v>
      </c>
      <c r="E7" s="61">
        <f>IF(OR($B$6="",$B$7=""),"",SUM(_xlfn.ANCHORARRAY(E29)))</f>
        <v>2.0030100712167126E+17</v>
      </c>
      <c r="F7" s="1"/>
      <c r="G7" s="1"/>
    </row>
    <row r="8" spans="1:7">
      <c r="A8" t="s">
        <v>0</v>
      </c>
      <c r="B8" s="20" t="s">
        <v>381</v>
      </c>
      <c r="C8" t="s">
        <v>239</v>
      </c>
      <c r="D8" t="s">
        <v>242</v>
      </c>
      <c r="E8" s="61">
        <f>IF($B$6="","",$B$6^6)</f>
        <v>2985984</v>
      </c>
      <c r="F8" s="1"/>
      <c r="G8" s="1"/>
    </row>
    <row r="9" spans="1:7">
      <c r="A9" t="s">
        <v>215</v>
      </c>
      <c r="B9">
        <f>IF(B6="","",B6)</f>
        <v>12</v>
      </c>
      <c r="C9" t="s">
        <v>318</v>
      </c>
      <c r="D9" t="s">
        <v>324</v>
      </c>
      <c r="E9" s="62">
        <f>IF(OR($B$6="",$B$7&lt;8),"",COUNTIF(G15:G18,"Oui"))</f>
        <v>1</v>
      </c>
      <c r="F9" s="1"/>
      <c r="G9" s="1"/>
    </row>
    <row r="10" spans="1:7">
      <c r="A10" t="s">
        <v>319</v>
      </c>
      <c r="B10">
        <f>IF(B6="","",B6)</f>
        <v>12</v>
      </c>
      <c r="C10" t="s">
        <v>320</v>
      </c>
      <c r="D10" t="s">
        <v>325</v>
      </c>
      <c r="E10" s="16" t="str">
        <f>IF(OR($B$6="",$B$7=""),"En attente de k et n",IF($B$7&lt;8,"Suites construites; Digamma défini seulement pour n≥8",IF(E9=0,"Aucun candidat premier",IF(E9=1,"Un candidat premier",E9&amp;" candidats premiers"))))</f>
        <v>Un candidat premier</v>
      </c>
      <c r="F10" s="16"/>
      <c r="G10" s="16"/>
    </row>
    <row r="11" spans="1:7">
      <c r="A11" t="s">
        <v>211</v>
      </c>
      <c r="B11" t="s">
        <v>212</v>
      </c>
      <c r="C11" t="s">
        <v>218</v>
      </c>
      <c r="D11" t="s">
        <v>326</v>
      </c>
      <c r="E11" s="16" t="str">
        <f>IF(OR($B$6="",$B$7=""),"",IF($B$7&lt;8,"Reconstruction P non applicable",IF(E9=1,"P déterminé de façon unique dans les quatre essais","P non unique avec les règles actuelles")))</f>
        <v>P déterminé de façon unique dans les quatre essais</v>
      </c>
      <c r="F11" s="16"/>
      <c r="G11" s="16"/>
    </row>
    <row r="13" spans="1:7" ht="15.6">
      <c r="A13" s="5" t="s">
        <v>327</v>
      </c>
      <c r="B13" s="5"/>
      <c r="C13" s="5"/>
      <c r="D13" s="5"/>
      <c r="E13" s="5"/>
      <c r="F13" s="5"/>
      <c r="G13" s="5"/>
    </row>
    <row r="14" spans="1:7" ht="28.8">
      <c r="A14" s="48" t="s">
        <v>144</v>
      </c>
      <c r="B14" s="48" t="s">
        <v>91</v>
      </c>
      <c r="C14" s="48" t="s">
        <v>92</v>
      </c>
      <c r="D14" s="48" t="s">
        <v>148</v>
      </c>
      <c r="E14" s="48" t="s">
        <v>58</v>
      </c>
      <c r="F14" s="48" t="s">
        <v>182</v>
      </c>
      <c r="G14" s="48" t="s">
        <v>59</v>
      </c>
    </row>
    <row r="15" spans="1:7">
      <c r="A15">
        <v>1</v>
      </c>
      <c r="B15">
        <v>7</v>
      </c>
      <c r="C15">
        <v>1</v>
      </c>
      <c r="D15" s="55" cm="1">
        <f t="array" ref="D15">IF(OR($B$6="",$B$7&lt;8),"",$E$6+C15*INDEX(_xlfn.ANCHORARRAY(C29),B15))</f>
        <v>1.6691750629553244E+16</v>
      </c>
      <c r="E15" s="55">
        <f>IF(D15="","",($E$7-D15)/$E$8)</f>
        <v>61490368499</v>
      </c>
      <c r="F15" t="str">
        <f>IF(E15="","",IF(E15=INT(E15),"Oui","Non"))</f>
        <v>Oui</v>
      </c>
      <c r="G15" t="str" cm="1">
        <f t="array" ref="G15">IF(E15="","",IFERROR(_xlfn.LET(_xlpm.p,E15,IF(OR(F15&lt;&gt;"Oui",_xlpm.p&lt;2),"Non",IF(_xlpm.p=2,"Oui",IF(MOD(_xlpm.p,2)=0,"Non",_xlfn.LET(_xlpm.m,MAX(1,INT((SQRT(_xlpm.p)-1)/2)),IF(SUM(--(MOD(_xlpm.p,_xlfn.SEQUENCE(_xlpm.m,1,3,2))=0))=0,"Oui","Non")))))),"Non"))</f>
        <v>Non</v>
      </c>
    </row>
    <row r="16" spans="1:7">
      <c r="A16">
        <v>2</v>
      </c>
      <c r="B16">
        <v>7</v>
      </c>
      <c r="C16">
        <v>-1</v>
      </c>
      <c r="D16" s="55" cm="1">
        <f t="array" ref="D16">IF(OR($B$6="",$B$7&lt;8),"",$E$6+C16*INDEX(_xlfn.ANCHORARRAY(C29),B16))</f>
        <v>1.6691750557889628E+16</v>
      </c>
      <c r="E16" s="55">
        <f>IF(D16="","",($E$7-D16)/$E$8)</f>
        <v>61490368523</v>
      </c>
      <c r="F16" t="str">
        <f>IF(E16="","",IF(E16=INT(E16),"Oui","Non"))</f>
        <v>Oui</v>
      </c>
      <c r="G16" t="str" cm="1">
        <f t="array" ref="G16">IF(E16="","",IFERROR(_xlfn.LET(_xlpm.p,E16,IF(OR(F16&lt;&gt;"Oui",_xlpm.p&lt;2),"Non",IF(_xlpm.p=2,"Oui",IF(MOD(_xlpm.p,2)=0,"Non",_xlfn.LET(_xlpm.m,MAX(1,INT((SQRT(_xlpm.p)-1)/2)),IF(SUM(--(MOD(_xlpm.p,_xlfn.SEQUENCE(_xlpm.m,1,3,2))=0))=0,"Oui","Non")))))),"Non"))</f>
        <v>Oui</v>
      </c>
    </row>
    <row r="17" spans="1:7">
      <c r="A17">
        <v>3</v>
      </c>
      <c r="B17">
        <v>8</v>
      </c>
      <c r="C17">
        <v>1</v>
      </c>
      <c r="D17" s="55" cm="1">
        <f t="array" ref="D17">IF(OR($B$6="",$B$7&lt;8),"",$E$6+C17*INDEX(_xlfn.ANCHORARRAY(C29),B17))</f>
        <v>1.6691751023703132E+16</v>
      </c>
      <c r="E17" s="55">
        <f>IF(D17="","",($E$7-D17)/$E$8)</f>
        <v>61490368367</v>
      </c>
      <c r="F17" t="str">
        <f>IF(E17="","",IF(E17=INT(E17),"Oui","Non"))</f>
        <v>Oui</v>
      </c>
      <c r="G17" t="str" cm="1">
        <f t="array" ref="G17">IF(E17="","",IFERROR(_xlfn.LET(_xlpm.p,E17,IF(OR(F17&lt;&gt;"Oui",_xlpm.p&lt;2),"Non",IF(_xlpm.p=2,"Oui",IF(MOD(_xlpm.p,2)=0,"Non",_xlfn.LET(_xlpm.m,MAX(1,INT((SQRT(_xlpm.p)-1)/2)),IF(SUM(--(MOD(_xlpm.p,_xlfn.SEQUENCE(_xlpm.m,1,3,2))=0))=0,"Oui","Non")))))),"Non"))</f>
        <v>Non</v>
      </c>
    </row>
    <row r="18" spans="1:7">
      <c r="A18">
        <v>4</v>
      </c>
      <c r="B18">
        <v>8</v>
      </c>
      <c r="C18">
        <v>-1</v>
      </c>
      <c r="D18" s="55" cm="1">
        <f t="array" ref="D18">IF(OR($B$6="",$B$7&lt;8),"",$E$6+C18*INDEX(_xlfn.ANCHORARRAY(C29),B18))</f>
        <v>1.669175016373974E+16</v>
      </c>
      <c r="E18" s="55">
        <f>IF(D18="","",($E$7-D18)/$E$8)</f>
        <v>61490368655</v>
      </c>
      <c r="F18" t="str">
        <f>IF(E18="","",IF(E18=INT(E18),"Oui","Non"))</f>
        <v>Oui</v>
      </c>
      <c r="G18" t="str" cm="1">
        <f t="array" ref="G18">IF(E18="","",IFERROR(_xlfn.LET(_xlpm.p,E18,IF(OR(F18&lt;&gt;"Oui",_xlpm.p&lt;2),"Non",IF(_xlpm.p=2,"Oui",IF(MOD(_xlpm.p,2)=0,"Non",_xlfn.LET(_xlpm.m,MAX(1,INT((SQRT(_xlpm.p)-1)/2)),IF(SUM(--(MOD(_xlpm.p,_xlfn.SEQUENCE(_xlpm.m,1,3,2))=0))=0,"Oui","Non")))))),"Non"))</f>
        <v>Non</v>
      </c>
    </row>
    <row r="20" spans="1:7" ht="15.6">
      <c r="A20" s="5" t="s">
        <v>328</v>
      </c>
      <c r="B20" s="5"/>
      <c r="C20" s="5"/>
      <c r="D20" s="5"/>
      <c r="E20" s="5"/>
      <c r="F20" s="5"/>
      <c r="G20" s="5"/>
    </row>
    <row r="21" spans="1:7">
      <c r="A21" s="16" t="s">
        <v>329</v>
      </c>
      <c r="B21" s="16"/>
      <c r="C21" s="16"/>
      <c r="D21" s="16"/>
      <c r="E21" s="16"/>
      <c r="F21" s="16"/>
      <c r="G21" s="16"/>
    </row>
    <row r="22" spans="1:7">
      <c r="A22" s="16" t="s">
        <v>330</v>
      </c>
      <c r="B22" s="16"/>
      <c r="C22" s="16"/>
      <c r="D22" s="16"/>
      <c r="E22" s="16"/>
      <c r="F22" s="16"/>
      <c r="G22" s="16"/>
    </row>
    <row r="23" spans="1:7">
      <c r="A23" s="16" t="s">
        <v>331</v>
      </c>
      <c r="B23" s="16"/>
      <c r="C23" s="16"/>
      <c r="D23" s="16"/>
      <c r="E23" s="16"/>
      <c r="F23" s="16"/>
      <c r="G23" s="16"/>
    </row>
    <row r="24" spans="1:7">
      <c r="A24" s="16" t="s">
        <v>332</v>
      </c>
      <c r="B24" s="16"/>
      <c r="C24" s="16"/>
      <c r="D24" s="16"/>
      <c r="E24" s="16"/>
      <c r="F24" s="16"/>
      <c r="G24" s="16"/>
    </row>
    <row r="25" spans="1:7">
      <c r="A25" s="16" t="s">
        <v>333</v>
      </c>
      <c r="B25" s="16"/>
      <c r="C25" s="16"/>
      <c r="D25" s="16"/>
      <c r="E25" s="16"/>
      <c r="F25" s="16"/>
      <c r="G25" s="16"/>
    </row>
    <row r="27" spans="1:7" ht="15.6">
      <c r="A27" s="5" t="s">
        <v>229</v>
      </c>
      <c r="B27" s="5"/>
      <c r="C27" s="5"/>
      <c r="D27" s="5"/>
      <c r="E27" s="5"/>
    </row>
    <row r="28" spans="1:7" ht="28.8">
      <c r="A28" s="48" t="s">
        <v>334</v>
      </c>
      <c r="B28" s="48" t="s">
        <v>335</v>
      </c>
      <c r="C28" s="48" t="s">
        <v>336</v>
      </c>
      <c r="D28" s="48" t="s">
        <v>337</v>
      </c>
      <c r="E28" s="48" t="s">
        <v>338</v>
      </c>
    </row>
    <row r="29" spans="1:7">
      <c r="A29" cm="1">
        <f t="array" ref="A29:A43">IF(OR($B$6="",$B$7=""),"",_xlfn.SEQUENCE($B$7))</f>
        <v>1</v>
      </c>
      <c r="B29" t="str" cm="1">
        <f t="array" ref="B29:B43">IF(_xlfn.ANCHORARRAY(A29)="","",_xlfn.LET(_xlpm.i,_xlfn.ANCHORARRAY(A29),_xlpm.n,$B$7,IF(_xlpm.n&lt;=7,IF($B$11="XIII simple","a₁·r^(i−1)",IF(_xlpm.i=1,"a₁",IF((_xlpm.n=2)*(_xlpm.i=2),"a₁·(r−1/r)",IF(_xlpm.i&lt;=_xlpm.n-2,"a₁·r^(i−1)",IF(_xlpm.i=_xlpm.n-1,"a₁·r^(n−3)·(r−1/r)","a₁·r^(n−3)·(r−1/r)·r"))))),IF(_xlpm.i=1,"a₁",IF(_xlpm.i&lt;=_xlpm.n-2,"a₁·r^(i−1)",IF(_xlpm.i=_xlpm.n-1,"(r−1/r)·a₁·r^(n−3)","(r−1/r)·a₁·r^(n−2)"))))))</f>
        <v>a₁</v>
      </c>
      <c r="C29" s="55" cm="1">
        <f t="array" ref="C29:C43">IF(_xlfn.ANCHORARRAY(A29)="","",_xlfn.LET(_xlpm.i,_xlfn.ANCHORARRAY(A29),_xlpm.n,$B$7,_xlpm.a,$B$9,_xlpm.r,$B$10,IF(_xlpm.n&lt;=7,IF($B$11="XIII simple",_xlpm.a*_xlpm.r^(_xlpm.i-1),IF(_xlpm.i=1,_xlpm.a,IF((_xlpm.n=2)*(_xlpm.i=2),_xlpm.a*(_xlpm.r-1/_xlpm.r),IF((_xlpm.n&gt;=3)*(_xlpm.i&lt;=_xlpm.n-2),_xlpm.a*_xlpm.r^(_xlpm.i-1),IF((_xlpm.n&gt;=3)*(_xlpm.i=_xlpm.n-1),_xlpm.a*_xlpm.r^(_xlpm.n-3)*(_xlpm.r-1/_xlpm.r),IF((_xlpm.n&gt;=3)*(_xlpm.i=_xlpm.n),_xlpm.a*_xlpm.r^(_xlpm.n-3)*(_xlpm.r-1/_xlpm.r)*_xlpm.r,0)))))),IF(_xlpm.i=1,_xlpm.a,IF(_xlpm.i&lt;=_xlpm.n-2,_xlpm.a*_xlpm.r^(_xlpm.i-1),IF(_xlpm.i=_xlpm.n-1,(_xlpm.r-1/_xlpm.r)*(_xlpm.a*_xlpm.r^(_xlpm.n-3)),IF(_xlpm.i=_xlpm.n,(_xlpm.r-1/_xlpm.r)*(_xlpm.a*_xlpm.r^(_xlpm.n-2)),0)))))))</f>
        <v>12</v>
      </c>
      <c r="D29" s="55" t="str" cm="1">
        <f t="array" ref="D29:D43">IF(_xlfn.ANCHORARRAY(A29)="","",_xlfn.LET(_xlpm.i,_xlfn.ANCHORARRAY(A29),_xlpm.n,$B$7,IF(_xlpm.n&lt;=7,"A(n,i)",IF(_xlpm.i=1,"a₁",IF(_xlpm.i&lt;=5,"a₁·r^(i−1)",IF(_xlpm.i=6,"a₁·r^6 [Zêta]",IF(_xlpm.i&lt;=_xlpm.n-2,"a₁·r^i",IF(_xlpm.i=_xlpm.n-1,"(r−1/r)·a₁·r^(n−2)","(r−1/r)·a₁·r^(n−1)"))))))))</f>
        <v>a₁</v>
      </c>
      <c r="E29" s="55" cm="1">
        <f t="array" ref="E29:E43">IF(_xlfn.ANCHORARRAY(A29)="","",_xlfn.LET(_xlpm.i,_xlfn.ANCHORARRAY(A29),_xlpm.n,$B$7,_xlpm.a,$B$9,_xlpm.r,$B$10,IF(_xlpm.n&lt;=7,_xlfn.ANCHORARRAY(C29),IF(_xlpm.i=1,_xlpm.a,IF(_xlpm.i&lt;=5,_xlpm.a*_xlpm.r^(_xlpm.i-1),IF(_xlpm.i=6,_xlpm.a*_xlpm.r^6,IF(_xlpm.i&lt;=_xlpm.n-2,_xlpm.a*_xlpm.r^_xlpm.i,IF(_xlpm.i=_xlpm.n-1,(_xlpm.r-1/_xlpm.r)*(_xlpm.a*_xlpm.r^(_xlpm.n-2)),IF(_xlpm.i=_xlpm.n,(_xlpm.r-1/_xlpm.r)*(_xlpm.a*_xlpm.r^(_xlpm.n-1)),0)))))))))</f>
        <v>12</v>
      </c>
    </row>
    <row r="30" spans="1:7">
      <c r="A30">
        <v>2</v>
      </c>
      <c r="B30" t="str">
        <v>a₁·r^(i−1)</v>
      </c>
      <c r="C30">
        <v>144</v>
      </c>
      <c r="D30" t="str">
        <v>a₁·r^(i−1)</v>
      </c>
      <c r="E30">
        <v>144</v>
      </c>
    </row>
    <row r="31" spans="1:7">
      <c r="A31">
        <v>3</v>
      </c>
      <c r="B31" t="str">
        <v>a₁·r^(i−1)</v>
      </c>
      <c r="C31">
        <v>1728</v>
      </c>
      <c r="D31" t="str">
        <v>a₁·r^(i−1)</v>
      </c>
      <c r="E31">
        <v>1728</v>
      </c>
    </row>
    <row r="32" spans="1:7">
      <c r="A32">
        <v>4</v>
      </c>
      <c r="B32" t="str">
        <v>a₁·r^(i−1)</v>
      </c>
      <c r="C32">
        <v>20736</v>
      </c>
      <c r="D32" t="str">
        <v>a₁·r^(i−1)</v>
      </c>
      <c r="E32">
        <v>20736</v>
      </c>
    </row>
    <row r="33" spans="1:7">
      <c r="A33">
        <v>5</v>
      </c>
      <c r="B33" t="str">
        <v>a₁·r^(i−1)</v>
      </c>
      <c r="C33">
        <v>248832</v>
      </c>
      <c r="D33" t="str">
        <v>a₁·r^(i−1)</v>
      </c>
      <c r="E33">
        <v>248832</v>
      </c>
    </row>
    <row r="34" spans="1:7">
      <c r="A34">
        <v>6</v>
      </c>
      <c r="B34" t="str">
        <v>a₁·r^(i−1)</v>
      </c>
      <c r="C34">
        <v>2985984</v>
      </c>
      <c r="D34" t="str">
        <v>a₁·r^6 [Zêta]</v>
      </c>
      <c r="E34">
        <v>35831808</v>
      </c>
    </row>
    <row r="35" spans="1:7">
      <c r="A35">
        <v>7</v>
      </c>
      <c r="B35" t="str">
        <v>a₁·r^(i−1)</v>
      </c>
      <c r="C35">
        <v>35831808</v>
      </c>
      <c r="D35" t="str">
        <v>a₁·r^i</v>
      </c>
      <c r="E35">
        <v>429981696</v>
      </c>
    </row>
    <row r="36" spans="1:7">
      <c r="A36">
        <v>8</v>
      </c>
      <c r="B36" t="str">
        <v>a₁·r^(i−1)</v>
      </c>
      <c r="C36">
        <v>429981696</v>
      </c>
      <c r="D36" t="str">
        <v>a₁·r^i</v>
      </c>
      <c r="E36">
        <v>5159780352</v>
      </c>
    </row>
    <row r="37" spans="1:7">
      <c r="A37">
        <v>9</v>
      </c>
      <c r="B37" t="str">
        <v>a₁·r^(i−1)</v>
      </c>
      <c r="C37">
        <v>5159780352</v>
      </c>
      <c r="D37" t="str">
        <v>a₁·r^i</v>
      </c>
      <c r="E37">
        <v>61917364224</v>
      </c>
    </row>
    <row r="38" spans="1:7">
      <c r="A38">
        <v>10</v>
      </c>
      <c r="B38" t="str">
        <v>a₁·r^(i−1)</v>
      </c>
      <c r="C38">
        <v>61917364224</v>
      </c>
      <c r="D38" t="str">
        <v>a₁·r^i</v>
      </c>
      <c r="E38">
        <v>743008370688</v>
      </c>
    </row>
    <row r="39" spans="1:7">
      <c r="A39">
        <v>11</v>
      </c>
      <c r="B39" t="str">
        <v>a₁·r^(i−1)</v>
      </c>
      <c r="C39">
        <v>743008370688</v>
      </c>
      <c r="D39" t="str">
        <v>a₁·r^i</v>
      </c>
      <c r="E39">
        <v>8916100448256</v>
      </c>
    </row>
    <row r="40" spans="1:7">
      <c r="A40">
        <v>12</v>
      </c>
      <c r="B40" t="str">
        <v>a₁·r^(i−1)</v>
      </c>
      <c r="C40">
        <v>8916100448256</v>
      </c>
      <c r="D40" t="str">
        <v>a₁·r^i</v>
      </c>
      <c r="E40">
        <v>106993205379072</v>
      </c>
    </row>
    <row r="41" spans="1:7">
      <c r="A41">
        <v>13</v>
      </c>
      <c r="B41" t="str">
        <v>a₁·r^(i−1)</v>
      </c>
      <c r="C41">
        <v>106993205379072</v>
      </c>
      <c r="D41" t="str">
        <v>a₁·r^i</v>
      </c>
      <c r="E41">
        <v>1283918464548864</v>
      </c>
    </row>
    <row r="42" spans="1:7">
      <c r="A42">
        <v>14</v>
      </c>
      <c r="B42" t="str">
        <v>(r−1/r)·a₁·r^(n−3)</v>
      </c>
      <c r="C42">
        <v>1275002364100608</v>
      </c>
      <c r="D42" t="str">
        <v>(r−1/r)·a₁·r^(n−2)</v>
      </c>
      <c r="E42">
        <v>1.5300028369207296E+16</v>
      </c>
    </row>
    <row r="43" spans="1:7">
      <c r="A43">
        <v>15</v>
      </c>
      <c r="B43" t="str">
        <v>(r−1/r)·a₁·r^(n−2)</v>
      </c>
      <c r="C43">
        <v>1.5300028369207296E+16</v>
      </c>
      <c r="D43" t="str">
        <v>(r−1/r)·a₁·r^(n−1)</v>
      </c>
      <c r="E43">
        <v>1.8360034043048755E+17</v>
      </c>
    </row>
    <row r="45" spans="1:7" ht="15.6">
      <c r="A45" s="5" t="s">
        <v>339</v>
      </c>
      <c r="B45" s="5"/>
      <c r="C45" s="5"/>
      <c r="D45" s="5"/>
      <c r="E45" s="5"/>
      <c r="F45" s="5"/>
      <c r="G45" s="5"/>
    </row>
    <row r="46" spans="1:7" ht="60" customHeight="1">
      <c r="A46" s="63" t="s">
        <v>340</v>
      </c>
      <c r="B46" s="63"/>
      <c r="C46" s="63"/>
      <c r="D46" s="63"/>
      <c r="E46" s="63"/>
      <c r="F46" s="63"/>
      <c r="G46" s="63"/>
    </row>
    <row r="47" spans="1:7" ht="60" customHeight="1">
      <c r="A47" s="63"/>
      <c r="B47" s="63"/>
      <c r="C47" s="63"/>
      <c r="D47" s="63"/>
      <c r="E47" s="63"/>
      <c r="F47" s="63"/>
      <c r="G47" s="63"/>
    </row>
    <row r="48" spans="1:7" ht="60" customHeight="1">
      <c r="A48" s="63"/>
      <c r="B48" s="63"/>
      <c r="C48" s="63"/>
      <c r="D48" s="63"/>
      <c r="E48" s="63"/>
      <c r="F48" s="63"/>
      <c r="G48" s="63"/>
    </row>
    <row r="49" spans="1:7" ht="60" customHeight="1">
      <c r="A49" s="63"/>
      <c r="B49" s="63"/>
      <c r="C49" s="63"/>
      <c r="D49" s="63"/>
      <c r="E49" s="63"/>
      <c r="F49" s="63"/>
      <c r="G49" s="63"/>
    </row>
  </sheetData>
  <mergeCells count="20">
    <mergeCell ref="A45:G45"/>
    <mergeCell ref="A46:G49"/>
    <mergeCell ref="A21:G21"/>
    <mergeCell ref="A22:G22"/>
    <mergeCell ref="A23:G23"/>
    <mergeCell ref="A24:G24"/>
    <mergeCell ref="A25:G25"/>
    <mergeCell ref="A27:E27"/>
    <mergeCell ref="E8:G8"/>
    <mergeCell ref="E9:G9"/>
    <mergeCell ref="E10:G10"/>
    <mergeCell ref="E11:G11"/>
    <mergeCell ref="A13:G13"/>
    <mergeCell ref="A20:G20"/>
    <mergeCell ref="A1:G1"/>
    <mergeCell ref="A2:G2"/>
    <mergeCell ref="A4:C4"/>
    <mergeCell ref="D4:G4"/>
    <mergeCell ref="E6:G6"/>
    <mergeCell ref="E7:G7"/>
  </mergeCells>
  <dataValidations count="2">
    <dataValidation type="list" allowBlank="1" showInputMessage="1" showErrorMessage="1" sqref="B11" xr:uid="{3A0B2749-A0A6-4BD7-8651-683372FC2C40}">
      <formula1>"XIII simple,XII terminal"</formula1>
    </dataValidation>
    <dataValidation type="whole" operator="greaterThanOrEqual" allowBlank="1" showInputMessage="1" showErrorMessage="1" sqref="B6 B7" xr:uid="{1634237B-5FF7-4A4B-9A81-1D430174CAB8}">
      <formula1>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DDCA-017A-47A5-BEB5-C20F22182239}">
  <dimension ref="A1:I68"/>
  <sheetViews>
    <sheetView tabSelected="1" topLeftCell="A45" workbookViewId="0">
      <selection activeCell="A54" sqref="A54:I54"/>
    </sheetView>
  </sheetViews>
  <sheetFormatPr baseColWidth="10" defaultRowHeight="14.4"/>
  <cols>
    <col min="1" max="1" width="20.33203125" customWidth="1"/>
    <col min="2" max="2" width="33.33203125" customWidth="1"/>
    <col min="3" max="3" width="5.5546875" customWidth="1"/>
    <col min="4" max="4" width="16.6640625" customWidth="1"/>
    <col min="5" max="5" width="33.33203125" customWidth="1"/>
    <col min="6" max="6" width="22.21875" customWidth="1"/>
    <col min="7" max="8" width="13.88671875" customWidth="1"/>
    <col min="9" max="9" width="30.5546875" customWidth="1"/>
  </cols>
  <sheetData>
    <row r="1" spans="1:9" ht="30" customHeight="1">
      <c r="A1" s="2" t="s">
        <v>343</v>
      </c>
      <c r="B1" s="2"/>
      <c r="C1" s="2"/>
      <c r="D1" s="2"/>
      <c r="E1" s="2"/>
      <c r="F1" s="2"/>
      <c r="G1" s="2"/>
      <c r="H1" s="2"/>
      <c r="I1" s="2"/>
    </row>
    <row r="2" spans="1:9">
      <c r="A2" s="45" t="s">
        <v>344</v>
      </c>
      <c r="B2" s="45"/>
      <c r="C2" s="45"/>
      <c r="D2" s="45"/>
      <c r="E2" s="45"/>
      <c r="F2" s="45"/>
      <c r="G2" s="45"/>
      <c r="H2" s="45"/>
      <c r="I2" s="45"/>
    </row>
    <row r="4" spans="1:9" ht="15.6">
      <c r="A4" s="5" t="s">
        <v>345</v>
      </c>
      <c r="B4" s="5"/>
      <c r="C4" s="5"/>
      <c r="D4" s="5"/>
      <c r="E4" s="5"/>
      <c r="F4" s="5"/>
      <c r="G4" s="5"/>
      <c r="H4" s="5"/>
      <c r="I4" s="5"/>
    </row>
    <row r="5" spans="1:9">
      <c r="A5" s="49" t="s">
        <v>91</v>
      </c>
      <c r="B5" s="49" t="s">
        <v>346</v>
      </c>
      <c r="C5" s="49" t="s">
        <v>110</v>
      </c>
      <c r="D5" s="49" t="s">
        <v>159</v>
      </c>
      <c r="F5" s="49" t="s">
        <v>91</v>
      </c>
      <c r="G5" s="49" t="s">
        <v>347</v>
      </c>
      <c r="H5" s="49" t="s">
        <v>110</v>
      </c>
      <c r="I5" s="49" t="s">
        <v>159</v>
      </c>
    </row>
    <row r="6" spans="1:9">
      <c r="A6">
        <v>1</v>
      </c>
      <c r="B6" t="s">
        <v>75</v>
      </c>
      <c r="C6" t="s">
        <v>75</v>
      </c>
      <c r="D6" t="s">
        <v>348</v>
      </c>
      <c r="F6">
        <v>1</v>
      </c>
      <c r="G6" t="s">
        <v>75</v>
      </c>
      <c r="H6" t="s">
        <v>75</v>
      </c>
      <c r="I6" t="s">
        <v>348</v>
      </c>
    </row>
    <row r="7" spans="1:9">
      <c r="A7">
        <v>2</v>
      </c>
      <c r="B7" t="s">
        <v>76</v>
      </c>
      <c r="C7" t="s">
        <v>76</v>
      </c>
      <c r="D7" t="s">
        <v>348</v>
      </c>
      <c r="F7">
        <v>2</v>
      </c>
      <c r="G7" t="s">
        <v>76</v>
      </c>
      <c r="H7" t="s">
        <v>76</v>
      </c>
      <c r="I7" t="s">
        <v>348</v>
      </c>
    </row>
    <row r="8" spans="1:9">
      <c r="A8">
        <v>3</v>
      </c>
      <c r="B8" t="s">
        <v>77</v>
      </c>
      <c r="C8" t="s">
        <v>77</v>
      </c>
      <c r="D8" t="s">
        <v>348</v>
      </c>
      <c r="F8">
        <v>3</v>
      </c>
      <c r="G8" t="s">
        <v>77</v>
      </c>
      <c r="H8" t="s">
        <v>77</v>
      </c>
      <c r="I8" t="s">
        <v>348</v>
      </c>
    </row>
    <row r="9" spans="1:9">
      <c r="A9">
        <v>4</v>
      </c>
      <c r="B9" t="s">
        <v>78</v>
      </c>
      <c r="C9" t="s">
        <v>78</v>
      </c>
      <c r="D9" t="s">
        <v>348</v>
      </c>
      <c r="F9">
        <v>4</v>
      </c>
      <c r="G9" t="s">
        <v>78</v>
      </c>
      <c r="H9" t="s">
        <v>78</v>
      </c>
      <c r="I9" t="s">
        <v>348</v>
      </c>
    </row>
    <row r="10" spans="1:9">
      <c r="A10">
        <v>5</v>
      </c>
      <c r="B10" t="s">
        <v>79</v>
      </c>
      <c r="C10" t="s">
        <v>79</v>
      </c>
      <c r="D10" t="s">
        <v>348</v>
      </c>
      <c r="F10">
        <v>5</v>
      </c>
      <c r="G10" t="s">
        <v>79</v>
      </c>
      <c r="H10" t="s">
        <v>79</v>
      </c>
      <c r="I10" t="s">
        <v>348</v>
      </c>
    </row>
    <row r="11" spans="1:9">
      <c r="A11">
        <v>6</v>
      </c>
      <c r="B11" t="s">
        <v>80</v>
      </c>
      <c r="C11" t="s">
        <v>80</v>
      </c>
      <c r="D11" t="s">
        <v>348</v>
      </c>
      <c r="F11">
        <v>6</v>
      </c>
      <c r="G11" t="s">
        <v>80</v>
      </c>
      <c r="H11" t="s">
        <v>80</v>
      </c>
      <c r="I11" t="s">
        <v>348</v>
      </c>
    </row>
    <row r="12" spans="1:9">
      <c r="A12">
        <v>7</v>
      </c>
      <c r="B12" t="s">
        <v>81</v>
      </c>
      <c r="C12" t="s">
        <v>81</v>
      </c>
      <c r="D12" t="s">
        <v>348</v>
      </c>
      <c r="F12">
        <v>7</v>
      </c>
      <c r="G12" t="s">
        <v>81</v>
      </c>
      <c r="H12" t="s">
        <v>81</v>
      </c>
      <c r="I12" t="s">
        <v>348</v>
      </c>
    </row>
    <row r="13" spans="1:9">
      <c r="A13">
        <v>8</v>
      </c>
      <c r="B13" t="s">
        <v>82</v>
      </c>
      <c r="C13" t="s">
        <v>82</v>
      </c>
      <c r="D13" t="s">
        <v>348</v>
      </c>
      <c r="F13">
        <v>8</v>
      </c>
      <c r="G13" t="s">
        <v>351</v>
      </c>
      <c r="H13" t="s">
        <v>351</v>
      </c>
      <c r="I13" t="s">
        <v>170</v>
      </c>
    </row>
    <row r="14" spans="1:9">
      <c r="A14">
        <v>9</v>
      </c>
      <c r="B14" t="s">
        <v>349</v>
      </c>
      <c r="C14" t="s">
        <v>349</v>
      </c>
      <c r="D14" t="s">
        <v>170</v>
      </c>
      <c r="F14">
        <v>9</v>
      </c>
      <c r="G14" t="s">
        <v>349</v>
      </c>
      <c r="H14" t="s">
        <v>349</v>
      </c>
      <c r="I14" t="s">
        <v>172</v>
      </c>
    </row>
    <row r="15" spans="1:9" ht="43.2">
      <c r="A15">
        <v>10</v>
      </c>
      <c r="B15" t="s">
        <v>350</v>
      </c>
      <c r="C15" t="s">
        <v>350</v>
      </c>
      <c r="D15" t="s">
        <v>172</v>
      </c>
      <c r="F15" s="32" t="s">
        <v>123</v>
      </c>
      <c r="G15" s="32" t="str">
        <f>_xlfn.TEXTJOIN(" + ",TRUE,G6:G14)</f>
        <v>k^1 + k^2 + k^3 + k^4 + k^5 + k^6 + k^7 + k^8 − k^6 + k^9 − k^7</v>
      </c>
      <c r="H15" s="32" t="str">
        <f>_xlfn.TEXTJOIN(" + ",TRUE,H6:H14)</f>
        <v>k^1 + k^2 + k^3 + k^4 + k^5 + k^6 + k^7 + k^8 − k^6 + k^9 − k^7</v>
      </c>
      <c r="I15" s="32"/>
    </row>
    <row r="16" spans="1:9" ht="28.8">
      <c r="A16" s="32" t="s">
        <v>123</v>
      </c>
      <c r="B16" s="32" t="str">
        <f>_xlfn.TEXTJOIN(" + ",TRUE,B6:B15)</f>
        <v>k^1 + k^2 + k^3 + k^4 + k^5 + k^6 + k^7 + k^8 + k^9 − k^7 + k^10 − k^8</v>
      </c>
      <c r="C16" s="32" t="str">
        <f>_xlfn.TEXTJOIN(" + ",TRUE,C6:C15)</f>
        <v>k^1 + k^2 + k^3 + k^4 + k^5 + k^6 + k^7 + k^8 + k^9 − k^7 + k^10 − k^8</v>
      </c>
      <c r="D16" s="32"/>
    </row>
    <row r="18" spans="1:9" ht="15.6">
      <c r="A18" s="5" t="s">
        <v>352</v>
      </c>
      <c r="B18" s="5"/>
      <c r="C18" s="5"/>
      <c r="D18" s="5"/>
      <c r="E18" s="5"/>
      <c r="F18" s="5"/>
      <c r="G18" s="5"/>
      <c r="H18" s="5"/>
      <c r="I18" s="5"/>
    </row>
    <row r="19" spans="1:9">
      <c r="A19" s="49" t="s">
        <v>91</v>
      </c>
      <c r="B19" s="49" t="s">
        <v>353</v>
      </c>
      <c r="C19" s="49" t="s">
        <v>110</v>
      </c>
      <c r="D19" s="49" t="s">
        <v>159</v>
      </c>
      <c r="F19" s="49" t="s">
        <v>91</v>
      </c>
      <c r="G19" s="49" t="s">
        <v>354</v>
      </c>
      <c r="H19" s="49" t="s">
        <v>110</v>
      </c>
      <c r="I19" s="49" t="s">
        <v>159</v>
      </c>
    </row>
    <row r="20" spans="1:9">
      <c r="A20">
        <v>1</v>
      </c>
      <c r="B20" t="s">
        <v>75</v>
      </c>
      <c r="C20" t="s">
        <v>75</v>
      </c>
      <c r="D20" t="s">
        <v>348</v>
      </c>
      <c r="F20">
        <v>1</v>
      </c>
      <c r="G20" t="s">
        <v>75</v>
      </c>
      <c r="H20" t="s">
        <v>75</v>
      </c>
      <c r="I20" t="s">
        <v>348</v>
      </c>
    </row>
    <row r="21" spans="1:9">
      <c r="A21">
        <v>2</v>
      </c>
      <c r="B21" t="s">
        <v>76</v>
      </c>
      <c r="C21" t="s">
        <v>76</v>
      </c>
      <c r="D21" t="s">
        <v>348</v>
      </c>
      <c r="F21">
        <v>2</v>
      </c>
      <c r="G21" t="s">
        <v>76</v>
      </c>
      <c r="H21" t="s">
        <v>76</v>
      </c>
      <c r="I21" t="s">
        <v>348</v>
      </c>
    </row>
    <row r="22" spans="1:9">
      <c r="A22">
        <v>3</v>
      </c>
      <c r="B22" t="s">
        <v>77</v>
      </c>
      <c r="C22" t="s">
        <v>77</v>
      </c>
      <c r="D22" t="s">
        <v>348</v>
      </c>
      <c r="F22">
        <v>3</v>
      </c>
      <c r="G22" t="s">
        <v>77</v>
      </c>
      <c r="H22" t="s">
        <v>77</v>
      </c>
      <c r="I22" t="s">
        <v>348</v>
      </c>
    </row>
    <row r="23" spans="1:9">
      <c r="A23">
        <v>4</v>
      </c>
      <c r="B23" t="s">
        <v>78</v>
      </c>
      <c r="C23" t="s">
        <v>78</v>
      </c>
      <c r="D23" t="s">
        <v>348</v>
      </c>
      <c r="F23">
        <v>4</v>
      </c>
      <c r="G23" t="s">
        <v>78</v>
      </c>
      <c r="H23" t="s">
        <v>78</v>
      </c>
      <c r="I23" t="s">
        <v>348</v>
      </c>
    </row>
    <row r="24" spans="1:9">
      <c r="A24">
        <v>5</v>
      </c>
      <c r="B24" t="s">
        <v>79</v>
      </c>
      <c r="C24" t="s">
        <v>79</v>
      </c>
      <c r="D24" t="s">
        <v>348</v>
      </c>
      <c r="F24">
        <v>5</v>
      </c>
      <c r="G24" t="s">
        <v>79</v>
      </c>
      <c r="H24" t="s">
        <v>79</v>
      </c>
      <c r="I24" t="s">
        <v>348</v>
      </c>
    </row>
    <row r="25" spans="1:9">
      <c r="A25">
        <v>6</v>
      </c>
      <c r="B25" t="s">
        <v>81</v>
      </c>
      <c r="C25" t="s">
        <v>81</v>
      </c>
      <c r="D25" t="s">
        <v>355</v>
      </c>
      <c r="F25">
        <v>6</v>
      </c>
      <c r="G25" t="s">
        <v>81</v>
      </c>
      <c r="H25" t="s">
        <v>81</v>
      </c>
      <c r="I25" t="s">
        <v>355</v>
      </c>
    </row>
    <row r="26" spans="1:9">
      <c r="A26">
        <v>7</v>
      </c>
      <c r="B26" t="s">
        <v>82</v>
      </c>
      <c r="C26" t="s">
        <v>82</v>
      </c>
      <c r="D26" t="s">
        <v>173</v>
      </c>
      <c r="F26">
        <v>7</v>
      </c>
      <c r="G26" t="s">
        <v>82</v>
      </c>
      <c r="H26" t="s">
        <v>82</v>
      </c>
      <c r="I26" t="s">
        <v>173</v>
      </c>
    </row>
    <row r="27" spans="1:9">
      <c r="A27">
        <v>8</v>
      </c>
      <c r="B27" t="s">
        <v>86</v>
      </c>
      <c r="C27" t="s">
        <v>86</v>
      </c>
      <c r="D27" t="s">
        <v>173</v>
      </c>
      <c r="F27">
        <v>8</v>
      </c>
      <c r="G27" t="s">
        <v>349</v>
      </c>
      <c r="H27" t="s">
        <v>349</v>
      </c>
      <c r="I27" t="s">
        <v>170</v>
      </c>
    </row>
    <row r="28" spans="1:9">
      <c r="A28">
        <v>9</v>
      </c>
      <c r="B28" t="s">
        <v>350</v>
      </c>
      <c r="C28" t="s">
        <v>350</v>
      </c>
      <c r="D28" t="s">
        <v>170</v>
      </c>
      <c r="F28">
        <v>9</v>
      </c>
      <c r="G28" t="s">
        <v>350</v>
      </c>
      <c r="H28" t="s">
        <v>350</v>
      </c>
      <c r="I28" t="s">
        <v>172</v>
      </c>
    </row>
    <row r="29" spans="1:9" ht="43.2">
      <c r="A29">
        <v>10</v>
      </c>
      <c r="B29" t="s">
        <v>356</v>
      </c>
      <c r="C29" t="s">
        <v>356</v>
      </c>
      <c r="D29" t="s">
        <v>172</v>
      </c>
      <c r="F29" s="32" t="s">
        <v>123</v>
      </c>
      <c r="G29" s="32" t="str">
        <f>_xlfn.TEXTJOIN(" + ",TRUE,G20:G28)</f>
        <v>k^1 + k^2 + k^3 + k^4 + k^5 + k^7 + k^8 + k^9 − k^7 + k^10 − k^8</v>
      </c>
      <c r="H29" s="32" t="str">
        <f>_xlfn.TEXTJOIN(" + ",TRUE,H20:H28)</f>
        <v>k^1 + k^2 + k^3 + k^4 + k^5 + k^7 + k^8 + k^9 − k^7 + k^10 − k^8</v>
      </c>
      <c r="I29" s="32"/>
    </row>
    <row r="30" spans="1:9" ht="28.8">
      <c r="A30" s="32" t="s">
        <v>123</v>
      </c>
      <c r="B30" s="32" t="str">
        <f>_xlfn.TEXTJOIN(" + ",TRUE,B20:B29)</f>
        <v>k^1 + k^2 + k^3 + k^4 + k^5 + k^7 + k^8 + k^9 + k^10 − k^8 + k^11 − k^9</v>
      </c>
      <c r="C30" s="32" t="str">
        <f>_xlfn.TEXTJOIN(" + ",TRUE,C20:C29)</f>
        <v>k^1 + k^2 + k^3 + k^4 + k^5 + k^7 + k^8 + k^9 + k^10 − k^8 + k^11 − k^9</v>
      </c>
      <c r="D30" s="32"/>
    </row>
    <row r="32" spans="1:9" ht="15.6">
      <c r="A32" s="5" t="s">
        <v>327</v>
      </c>
      <c r="B32" s="5"/>
      <c r="C32" s="5"/>
      <c r="D32" s="5"/>
      <c r="E32" s="5"/>
      <c r="F32" s="5"/>
      <c r="G32" s="5"/>
      <c r="H32" s="5"/>
      <c r="I32" s="5"/>
    </row>
    <row r="33" spans="1:9" ht="28.8">
      <c r="A33" s="49" t="s">
        <v>144</v>
      </c>
      <c r="B33" s="49" t="s">
        <v>91</v>
      </c>
      <c r="C33" s="49" t="s">
        <v>109</v>
      </c>
      <c r="D33" s="49" t="s">
        <v>146</v>
      </c>
      <c r="E33" s="49" t="s">
        <v>150</v>
      </c>
      <c r="F33" s="49" t="s">
        <v>357</v>
      </c>
      <c r="G33" s="49" t="s">
        <v>52</v>
      </c>
      <c r="H33" s="49"/>
      <c r="I33" s="49"/>
    </row>
    <row r="34" spans="1:9">
      <c r="A34">
        <v>1</v>
      </c>
      <c r="B34">
        <v>7</v>
      </c>
      <c r="C34" t="s">
        <v>81</v>
      </c>
      <c r="D34" t="s">
        <v>147</v>
      </c>
      <c r="E34" t="str">
        <f>"Somme_A10 "&amp;D34&amp;" "&amp;C34</f>
        <v>Somme_A10 + k^7</v>
      </c>
      <c r="F34" t="str">
        <f>"("&amp;$C$16&amp;") "&amp;D34&amp;" "&amp;C34</f>
        <v>(k^1 + k^2 + k^3 + k^4 + k^5 + k^6 + k^7 + k^8 + k^9 − k^7 + k^10 − k^8) + k^7</v>
      </c>
      <c r="G34" t="s">
        <v>358</v>
      </c>
    </row>
    <row r="35" spans="1:9">
      <c r="A35">
        <v>2</v>
      </c>
      <c r="B35">
        <v>7</v>
      </c>
      <c r="C35" t="s">
        <v>81</v>
      </c>
      <c r="D35" t="s">
        <v>149</v>
      </c>
      <c r="E35" t="str">
        <f>"Somme_A10 "&amp;D35&amp;" "&amp;C35</f>
        <v>Somme_A10 − k^7</v>
      </c>
      <c r="F35" t="str">
        <f>"("&amp;$C$16&amp;") "&amp;D35&amp;" "&amp;C35</f>
        <v>(k^1 + k^2 + k^3 + k^4 + k^5 + k^6 + k^7 + k^8 + k^9 − k^7 + k^10 − k^8) − k^7</v>
      </c>
      <c r="G35" t="s">
        <v>358</v>
      </c>
    </row>
    <row r="36" spans="1:9">
      <c r="A36">
        <v>3</v>
      </c>
      <c r="B36">
        <v>8</v>
      </c>
      <c r="C36" t="s">
        <v>82</v>
      </c>
      <c r="D36" t="s">
        <v>147</v>
      </c>
      <c r="E36" t="str">
        <f>"Somme_A10 "&amp;D36&amp;" "&amp;C36</f>
        <v>Somme_A10 + k^8</v>
      </c>
      <c r="F36" t="str">
        <f>"("&amp;$C$16&amp;") "&amp;D36&amp;" "&amp;C36</f>
        <v>(k^1 + k^2 + k^3 + k^4 + k^5 + k^6 + k^7 + k^8 + k^9 − k^7 + k^10 − k^8) + k^8</v>
      </c>
      <c r="G36" t="s">
        <v>358</v>
      </c>
    </row>
    <row r="37" spans="1:9">
      <c r="A37" s="11">
        <v>4</v>
      </c>
      <c r="B37" s="11">
        <v>8</v>
      </c>
      <c r="C37" s="11" t="s">
        <v>82</v>
      </c>
      <c r="D37" s="11" t="s">
        <v>149</v>
      </c>
      <c r="E37" s="11" t="str">
        <f>"Somme_A10 "&amp;D37&amp;" "&amp;C37</f>
        <v>Somme_A10 − k^8</v>
      </c>
      <c r="F37" s="11" t="str">
        <f>"("&amp;$C$16&amp;") "&amp;D37&amp;" "&amp;C37</f>
        <v>(k^1 + k^2 + k^3 + k^4 + k^5 + k^6 + k^7 + k^8 + k^9 − k^7 + k^10 − k^8) − k^8</v>
      </c>
      <c r="G37" s="11" t="s">
        <v>358</v>
      </c>
      <c r="H37" s="11"/>
      <c r="I37" s="11"/>
    </row>
    <row r="39" spans="1:9" ht="15.6">
      <c r="A39" s="5" t="s">
        <v>359</v>
      </c>
      <c r="B39" s="5"/>
      <c r="C39" s="5"/>
      <c r="D39" s="5"/>
      <c r="E39" s="5"/>
      <c r="F39" s="5"/>
      <c r="G39" s="5"/>
      <c r="H39" s="5"/>
      <c r="I39" s="5"/>
    </row>
    <row r="40" spans="1:9" ht="28.8">
      <c r="A40" s="49" t="s">
        <v>144</v>
      </c>
      <c r="B40" s="49" t="s">
        <v>148</v>
      </c>
      <c r="C40" s="49" t="s">
        <v>153</v>
      </c>
      <c r="D40" s="49" t="s">
        <v>242</v>
      </c>
      <c r="E40" s="49" t="s">
        <v>360</v>
      </c>
      <c r="F40" s="49" t="s">
        <v>361</v>
      </c>
      <c r="G40" s="49" t="s">
        <v>362</v>
      </c>
      <c r="H40" s="49" t="s">
        <v>363</v>
      </c>
      <c r="I40" s="49" t="s">
        <v>364</v>
      </c>
    </row>
    <row r="41" spans="1:9">
      <c r="A41">
        <v>1</v>
      </c>
      <c r="B41" t="str">
        <f>E34</f>
        <v>Somme_A10 + k^7</v>
      </c>
      <c r="C41" t="str">
        <f>"Somme_B10"</f>
        <v>Somme_B10</v>
      </c>
      <c r="D41" t="s">
        <v>80</v>
      </c>
      <c r="E41" t="str">
        <f>"P"&amp;A41&amp;" = [Somme_B10 − ("&amp;B41&amp;")] / k^6"</f>
        <v>P1 = [Somme_B10 − (Somme_A10 + k^7)] / k^6</v>
      </c>
      <c r="F41" t="str">
        <f>"[Somme_B10 − ("&amp;B41&amp;")] / k^6"</f>
        <v>[Somme_B10 − (Somme_A10 + k^7)] / k^6</v>
      </c>
      <c r="G41" t="s">
        <v>365</v>
      </c>
      <c r="H41" t="s">
        <v>366</v>
      </c>
      <c r="I41" t="s">
        <v>367</v>
      </c>
    </row>
    <row r="42" spans="1:9">
      <c r="A42">
        <v>2</v>
      </c>
      <c r="B42" t="str">
        <f>E35</f>
        <v>Somme_A10 − k^7</v>
      </c>
      <c r="C42" t="str">
        <f>"Somme_B10"</f>
        <v>Somme_B10</v>
      </c>
      <c r="D42" t="s">
        <v>80</v>
      </c>
      <c r="E42" t="str">
        <f>"P"&amp;A42&amp;" = [Somme_B10 − ("&amp;B42&amp;")] / k^6"</f>
        <v>P2 = [Somme_B10 − (Somme_A10 − k^7)] / k^6</v>
      </c>
      <c r="F42" t="str">
        <f>"[Somme_B10 − ("&amp;B42&amp;")] / k^6"</f>
        <v>[Somme_B10 − (Somme_A10 − k^7)] / k^6</v>
      </c>
      <c r="G42" t="s">
        <v>365</v>
      </c>
      <c r="H42" t="s">
        <v>366</v>
      </c>
      <c r="I42" t="s">
        <v>367</v>
      </c>
    </row>
    <row r="43" spans="1:9">
      <c r="A43">
        <v>3</v>
      </c>
      <c r="B43" t="str">
        <f>E36</f>
        <v>Somme_A10 + k^8</v>
      </c>
      <c r="C43" t="str">
        <f>"Somme_B10"</f>
        <v>Somme_B10</v>
      </c>
      <c r="D43" t="s">
        <v>80</v>
      </c>
      <c r="E43" t="str">
        <f>"P"&amp;A43&amp;" = [Somme_B10 − ("&amp;B43&amp;")] / k^6"</f>
        <v>P3 = [Somme_B10 − (Somme_A10 + k^8)] / k^6</v>
      </c>
      <c r="F43" t="str">
        <f>"[Somme_B10 − ("&amp;B43&amp;")] / k^6"</f>
        <v>[Somme_B10 − (Somme_A10 + k^8)] / k^6</v>
      </c>
      <c r="G43" t="s">
        <v>365</v>
      </c>
      <c r="H43" t="s">
        <v>366</v>
      </c>
      <c r="I43" t="s">
        <v>367</v>
      </c>
    </row>
    <row r="44" spans="1:9">
      <c r="A44">
        <v>4</v>
      </c>
      <c r="B44" t="str">
        <f>E37</f>
        <v>Somme_A10 − k^8</v>
      </c>
      <c r="C44" t="str">
        <f>"Somme_B10"</f>
        <v>Somme_B10</v>
      </c>
      <c r="D44" t="s">
        <v>80</v>
      </c>
      <c r="E44" t="str">
        <f>"P"&amp;A44&amp;" = [Somme_B10 − ("&amp;B44&amp;")] / k^6"</f>
        <v>P4 = [Somme_B10 − (Somme_A10 − k^8)] / k^6</v>
      </c>
      <c r="F44" t="str">
        <f>"[Somme_B10 − ("&amp;B44&amp;")] / k^6"</f>
        <v>[Somme_B10 − (Somme_A10 − k^8)] / k^6</v>
      </c>
      <c r="G44" t="s">
        <v>365</v>
      </c>
      <c r="H44" t="s">
        <v>366</v>
      </c>
      <c r="I44" t="s">
        <v>367</v>
      </c>
    </row>
    <row r="46" spans="1:9" ht="15.6">
      <c r="A46" s="5" t="s">
        <v>368</v>
      </c>
      <c r="B46" s="5"/>
      <c r="C46" s="5"/>
      <c r="D46" s="5"/>
      <c r="E46" s="5"/>
      <c r="F46" s="5"/>
      <c r="G46" s="5"/>
      <c r="H46" s="5"/>
      <c r="I46" s="5"/>
    </row>
    <row r="47" spans="1:9">
      <c r="A47" s="16" t="s">
        <v>369</v>
      </c>
      <c r="B47" s="16"/>
      <c r="C47" s="16"/>
      <c r="D47" s="16"/>
      <c r="E47" s="16"/>
      <c r="F47" s="16"/>
      <c r="G47" s="16"/>
      <c r="H47" s="16"/>
      <c r="I47" s="16"/>
    </row>
    <row r="48" spans="1:9">
      <c r="A48" s="16" t="s">
        <v>370</v>
      </c>
      <c r="B48" s="16"/>
      <c r="C48" s="16"/>
      <c r="D48" s="16"/>
      <c r="E48" s="16"/>
      <c r="F48" s="16"/>
      <c r="G48" s="16"/>
      <c r="H48" s="16"/>
      <c r="I48" s="16"/>
    </row>
    <row r="49" spans="1:9">
      <c r="A49" s="16" t="s">
        <v>371</v>
      </c>
      <c r="B49" s="16"/>
      <c r="C49" s="16"/>
      <c r="D49" s="16"/>
      <c r="E49" s="16"/>
      <c r="F49" s="16"/>
      <c r="G49" s="16"/>
      <c r="H49" s="16"/>
      <c r="I49" s="16"/>
    </row>
    <row r="50" spans="1:9">
      <c r="A50" s="16" t="s">
        <v>372</v>
      </c>
      <c r="B50" s="16"/>
      <c r="C50" s="16"/>
      <c r="D50" s="16"/>
      <c r="E50" s="16"/>
      <c r="F50" s="16"/>
      <c r="G50" s="16"/>
      <c r="H50" s="16"/>
      <c r="I50" s="16"/>
    </row>
    <row r="51" spans="1:9">
      <c r="A51" s="16" t="s">
        <v>373</v>
      </c>
      <c r="B51" s="16"/>
      <c r="C51" s="16"/>
      <c r="D51" s="16"/>
      <c r="E51" s="16"/>
      <c r="F51" s="16"/>
      <c r="G51" s="16"/>
      <c r="H51" s="16"/>
      <c r="I51" s="16"/>
    </row>
    <row r="52" spans="1:9">
      <c r="A52" s="16" t="s">
        <v>374</v>
      </c>
      <c r="B52" s="16"/>
      <c r="C52" s="16"/>
      <c r="D52" s="16"/>
      <c r="E52" s="16"/>
      <c r="F52" s="16"/>
      <c r="G52" s="16"/>
      <c r="H52" s="16"/>
      <c r="I52" s="16"/>
    </row>
    <row r="54" spans="1:9" ht="15.6">
      <c r="A54" s="5" t="s">
        <v>375</v>
      </c>
      <c r="B54" s="5"/>
      <c r="C54" s="5"/>
      <c r="D54" s="5"/>
      <c r="E54" s="5"/>
      <c r="F54" s="5"/>
      <c r="G54" s="5"/>
      <c r="H54" s="5"/>
      <c r="I54" s="5"/>
    </row>
    <row r="55" spans="1:9">
      <c r="A55" s="64" t="s">
        <v>376</v>
      </c>
      <c r="B55" s="64"/>
      <c r="C55" s="64"/>
      <c r="D55" s="64"/>
      <c r="E55" s="64"/>
      <c r="F55" s="64"/>
      <c r="G55" s="64"/>
      <c r="H55" s="64"/>
      <c r="I55" s="64"/>
    </row>
    <row r="56" spans="1:9">
      <c r="A56" s="64" t="s">
        <v>377</v>
      </c>
      <c r="B56" s="64"/>
      <c r="C56" s="64"/>
      <c r="D56" s="64"/>
      <c r="E56" s="64"/>
      <c r="F56" s="64"/>
      <c r="G56" s="64"/>
      <c r="H56" s="64"/>
      <c r="I56" s="64"/>
    </row>
    <row r="57" spans="1:9">
      <c r="A57" s="65" t="s">
        <v>378</v>
      </c>
      <c r="B57" s="65"/>
      <c r="C57" s="65"/>
      <c r="D57" s="65"/>
      <c r="E57" s="65"/>
      <c r="F57" s="65"/>
      <c r="G57" s="65"/>
      <c r="H57" s="65"/>
      <c r="I57" s="65"/>
    </row>
    <row r="60" spans="1:9" ht="17.399999999999999">
      <c r="A60" s="68" t="s">
        <v>382</v>
      </c>
      <c r="B60" s="68"/>
      <c r="C60" s="68"/>
      <c r="D60" s="68"/>
      <c r="E60" s="68"/>
      <c r="F60" s="68"/>
      <c r="G60" s="68"/>
      <c r="H60" s="68"/>
      <c r="I60" s="68"/>
    </row>
    <row r="61" spans="1:9">
      <c r="A61" s="30" t="s">
        <v>222</v>
      </c>
      <c r="B61" s="30" t="s">
        <v>383</v>
      </c>
      <c r="C61" s="30"/>
      <c r="D61" s="30" t="s">
        <v>144</v>
      </c>
      <c r="E61" s="30" t="s">
        <v>40</v>
      </c>
      <c r="F61" s="30" t="s">
        <v>384</v>
      </c>
      <c r="G61" s="30" t="s">
        <v>182</v>
      </c>
      <c r="H61" s="30" t="s">
        <v>59</v>
      </c>
      <c r="I61" s="30" t="s">
        <v>183</v>
      </c>
    </row>
    <row r="62" spans="1:9">
      <c r="A62" t="s">
        <v>385</v>
      </c>
      <c r="B62" s="20" t="s">
        <v>400</v>
      </c>
      <c r="D62" t="s">
        <v>388</v>
      </c>
      <c r="E62" s="20" t="s">
        <v>403</v>
      </c>
      <c r="F62" s="20" t="s">
        <v>407</v>
      </c>
      <c r="G62" t="s">
        <v>389</v>
      </c>
      <c r="H62" t="s">
        <v>390</v>
      </c>
      <c r="I62" t="s">
        <v>391</v>
      </c>
    </row>
    <row r="63" spans="1:9">
      <c r="A63" t="s">
        <v>386</v>
      </c>
      <c r="B63" s="20" t="s">
        <v>401</v>
      </c>
      <c r="D63" s="10" t="s">
        <v>392</v>
      </c>
      <c r="E63" s="69" t="s">
        <v>404</v>
      </c>
      <c r="F63" s="69" t="s">
        <v>408</v>
      </c>
      <c r="G63" s="10" t="s">
        <v>389</v>
      </c>
      <c r="H63" s="10" t="s">
        <v>389</v>
      </c>
      <c r="I63" s="10" t="s">
        <v>393</v>
      </c>
    </row>
    <row r="64" spans="1:9">
      <c r="A64" t="s">
        <v>387</v>
      </c>
      <c r="B64" s="20" t="s">
        <v>402</v>
      </c>
      <c r="D64" t="s">
        <v>394</v>
      </c>
      <c r="E64" s="20" t="s">
        <v>405</v>
      </c>
      <c r="F64" s="20" t="s">
        <v>409</v>
      </c>
      <c r="G64" t="s">
        <v>389</v>
      </c>
      <c r="H64" t="s">
        <v>390</v>
      </c>
      <c r="I64" t="s">
        <v>395</v>
      </c>
    </row>
    <row r="65" spans="1:9">
      <c r="D65" t="s">
        <v>396</v>
      </c>
      <c r="E65" s="20" t="s">
        <v>406</v>
      </c>
      <c r="F65" s="20" t="s">
        <v>410</v>
      </c>
      <c r="G65" t="s">
        <v>389</v>
      </c>
      <c r="H65" t="s">
        <v>390</v>
      </c>
      <c r="I65" t="s">
        <v>397</v>
      </c>
    </row>
    <row r="67" spans="1:9">
      <c r="A67" s="70" t="s">
        <v>398</v>
      </c>
      <c r="B67" s="70"/>
      <c r="C67" s="70"/>
      <c r="D67" s="70"/>
      <c r="E67" s="70"/>
      <c r="F67" s="70"/>
      <c r="G67" s="70"/>
      <c r="H67" s="70"/>
      <c r="I67" s="70"/>
    </row>
    <row r="68" spans="1:9">
      <c r="A68" s="45" t="s">
        <v>399</v>
      </c>
      <c r="B68" s="45"/>
      <c r="C68" s="45"/>
      <c r="D68" s="45"/>
      <c r="E68" s="45"/>
      <c r="F68" s="45"/>
      <c r="G68" s="45"/>
      <c r="H68" s="45"/>
      <c r="I68" s="45"/>
    </row>
  </sheetData>
  <mergeCells count="20">
    <mergeCell ref="A67:I67"/>
    <mergeCell ref="A68:I68"/>
    <mergeCell ref="A52:I52"/>
    <mergeCell ref="A54:I54"/>
    <mergeCell ref="A55:I55"/>
    <mergeCell ref="A56:I56"/>
    <mergeCell ref="A57:I57"/>
    <mergeCell ref="A60:I60"/>
    <mergeCell ref="A46:I46"/>
    <mergeCell ref="A47:I47"/>
    <mergeCell ref="A48:I48"/>
    <mergeCell ref="A49:I49"/>
    <mergeCell ref="A50:I50"/>
    <mergeCell ref="A51:I51"/>
    <mergeCell ref="A1:I1"/>
    <mergeCell ref="A2:I2"/>
    <mergeCell ref="A4:I4"/>
    <mergeCell ref="A18:I18"/>
    <mergeCell ref="A32:I32"/>
    <mergeCell ref="A39:I3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C6E4-9B7A-4798-AC4C-341EC54DEC58}">
  <dimension ref="A1:I25"/>
  <sheetViews>
    <sheetView topLeftCell="A26" workbookViewId="0">
      <selection activeCell="G37" sqref="G37"/>
    </sheetView>
  </sheetViews>
  <sheetFormatPr baseColWidth="10" defaultRowHeight="14.4"/>
  <cols>
    <col min="1" max="2" width="13" customWidth="1"/>
    <col min="3" max="7" width="13.88671875" customWidth="1"/>
    <col min="8" max="8" width="17.5546875" customWidth="1"/>
    <col min="9" max="9" width="24.109375" customWidth="1"/>
  </cols>
  <sheetData>
    <row r="1" spans="1:9" ht="30" customHeight="1">
      <c r="A1" s="2" t="s">
        <v>63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64</v>
      </c>
      <c r="B2" s="3"/>
      <c r="C2" s="3"/>
      <c r="D2" s="3"/>
      <c r="E2" s="3"/>
      <c r="F2" s="3"/>
      <c r="G2" s="3"/>
      <c r="H2" s="3"/>
      <c r="I2" s="3"/>
    </row>
    <row r="4" spans="1:9" ht="15.6">
      <c r="A4" s="5" t="s">
        <v>65</v>
      </c>
      <c r="B4" s="5"/>
      <c r="C4" s="5"/>
      <c r="D4" s="5"/>
      <c r="E4" s="5"/>
      <c r="F4" s="5"/>
      <c r="G4" s="5"/>
      <c r="H4" s="5"/>
      <c r="I4" s="5"/>
    </row>
    <row r="5" spans="1:9">
      <c r="A5" t="s">
        <v>37</v>
      </c>
      <c r="B5" t="s">
        <v>66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</row>
    <row r="6" spans="1:9">
      <c r="A6" s="20" t="s">
        <v>108</v>
      </c>
      <c r="B6" t="s">
        <v>74</v>
      </c>
      <c r="C6" s="12">
        <v>1</v>
      </c>
      <c r="D6" s="12">
        <v>1</v>
      </c>
      <c r="E6" s="12">
        <v>1</v>
      </c>
      <c r="F6" s="12">
        <v>0</v>
      </c>
      <c r="G6" s="12">
        <v>0</v>
      </c>
      <c r="H6" s="12">
        <f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f>
        <v>3</v>
      </c>
      <c r="I6" t="s">
        <v>75</v>
      </c>
    </row>
    <row r="7" spans="1:9">
      <c r="A7" s="20" t="s">
        <v>108</v>
      </c>
      <c r="B7" t="s">
        <v>74</v>
      </c>
      <c r="C7" s="12">
        <v>2</v>
      </c>
      <c r="D7" s="12">
        <v>1</v>
      </c>
      <c r="E7" s="12">
        <v>2</v>
      </c>
      <c r="F7" s="12">
        <v>0</v>
      </c>
      <c r="G7" s="12">
        <v>0</v>
      </c>
      <c r="H7" s="12">
        <f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f>
        <v>9</v>
      </c>
      <c r="I7" t="s">
        <v>76</v>
      </c>
    </row>
    <row r="8" spans="1:9">
      <c r="A8" s="20" t="s">
        <v>108</v>
      </c>
      <c r="B8" t="s">
        <v>74</v>
      </c>
      <c r="C8" s="12">
        <v>3</v>
      </c>
      <c r="D8" s="12">
        <v>1</v>
      </c>
      <c r="E8" s="12">
        <v>3</v>
      </c>
      <c r="F8" s="12">
        <v>0</v>
      </c>
      <c r="G8" s="12">
        <v>0</v>
      </c>
      <c r="H8" s="12">
        <f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f>
        <v>27</v>
      </c>
      <c r="I8" t="s">
        <v>77</v>
      </c>
    </row>
    <row r="9" spans="1:9">
      <c r="A9" s="20" t="s">
        <v>108</v>
      </c>
      <c r="B9" t="s">
        <v>74</v>
      </c>
      <c r="C9" s="12">
        <v>4</v>
      </c>
      <c r="D9" s="12">
        <v>1</v>
      </c>
      <c r="E9" s="12">
        <v>4</v>
      </c>
      <c r="F9" s="12">
        <v>0</v>
      </c>
      <c r="G9" s="12">
        <v>0</v>
      </c>
      <c r="H9" s="12">
        <f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f>
        <v>81</v>
      </c>
      <c r="I9" t="s">
        <v>78</v>
      </c>
    </row>
    <row r="10" spans="1:9">
      <c r="A10" s="20" t="s">
        <v>108</v>
      </c>
      <c r="B10" t="s">
        <v>74</v>
      </c>
      <c r="C10" s="12">
        <v>5</v>
      </c>
      <c r="D10" s="12">
        <v>1</v>
      </c>
      <c r="E10" s="12">
        <v>5</v>
      </c>
      <c r="F10" s="12">
        <v>0</v>
      </c>
      <c r="G10" s="12">
        <v>0</v>
      </c>
      <c r="H10" s="12">
        <f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f>
        <v>243</v>
      </c>
      <c r="I10" t="s">
        <v>79</v>
      </c>
    </row>
    <row r="11" spans="1:9">
      <c r="A11" s="20" t="s">
        <v>108</v>
      </c>
      <c r="B11" t="s">
        <v>74</v>
      </c>
      <c r="C11" s="12">
        <v>6</v>
      </c>
      <c r="D11" s="12">
        <v>1</v>
      </c>
      <c r="E11" s="12">
        <v>6</v>
      </c>
      <c r="F11" s="12">
        <v>0</v>
      </c>
      <c r="G11" s="12">
        <v>0</v>
      </c>
      <c r="H11" s="12">
        <f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f>
        <v>729</v>
      </c>
      <c r="I11" t="s">
        <v>80</v>
      </c>
    </row>
    <row r="12" spans="1:9">
      <c r="A12" s="20" t="s">
        <v>108</v>
      </c>
      <c r="B12" t="s">
        <v>74</v>
      </c>
      <c r="C12" s="12">
        <v>7</v>
      </c>
      <c r="D12" s="12">
        <v>1</v>
      </c>
      <c r="E12" s="12">
        <v>7</v>
      </c>
      <c r="F12" s="12">
        <v>0</v>
      </c>
      <c r="G12" s="12">
        <v>0</v>
      </c>
      <c r="H12" s="12">
        <f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f>
        <v>2187</v>
      </c>
      <c r="I12" t="s">
        <v>81</v>
      </c>
    </row>
    <row r="13" spans="1:9">
      <c r="A13" s="20" t="s">
        <v>108</v>
      </c>
      <c r="B13" t="s">
        <v>74</v>
      </c>
      <c r="C13" s="12">
        <v>8</v>
      </c>
      <c r="D13" s="12">
        <v>1</v>
      </c>
      <c r="E13" s="12">
        <v>8</v>
      </c>
      <c r="F13" s="12">
        <v>0</v>
      </c>
      <c r="G13" s="12">
        <v>0</v>
      </c>
      <c r="H13" s="12">
        <f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f>
        <v>6561</v>
      </c>
      <c r="I13" t="s">
        <v>82</v>
      </c>
    </row>
    <row r="14" spans="1:9">
      <c r="A14" s="20" t="s">
        <v>108</v>
      </c>
      <c r="B14" t="s">
        <v>74</v>
      </c>
      <c r="C14" s="12">
        <v>9</v>
      </c>
      <c r="D14" s="12">
        <v>1</v>
      </c>
      <c r="E14" s="12">
        <v>9</v>
      </c>
      <c r="F14" s="12">
        <v>-1</v>
      </c>
      <c r="G14" s="12">
        <v>7</v>
      </c>
      <c r="H14" s="12">
        <f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f>
        <v>17496</v>
      </c>
      <c r="I14" t="s">
        <v>83</v>
      </c>
    </row>
    <row r="15" spans="1:9">
      <c r="A15" s="20" t="s">
        <v>108</v>
      </c>
      <c r="B15" t="s">
        <v>74</v>
      </c>
      <c r="C15" s="12">
        <v>10</v>
      </c>
      <c r="D15" s="12">
        <v>1</v>
      </c>
      <c r="E15" s="12">
        <v>10</v>
      </c>
      <c r="F15" s="12">
        <v>-1</v>
      </c>
      <c r="G15" s="12">
        <v>8</v>
      </c>
      <c r="H15" s="12">
        <f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f>
        <v>52488</v>
      </c>
      <c r="I15" t="s">
        <v>84</v>
      </c>
    </row>
    <row r="16" spans="1:9">
      <c r="A16" s="20" t="s">
        <v>108</v>
      </c>
      <c r="B16" t="s">
        <v>85</v>
      </c>
      <c r="C16" s="12">
        <v>1</v>
      </c>
      <c r="D16" s="12">
        <v>1</v>
      </c>
      <c r="E16" s="12">
        <v>1</v>
      </c>
      <c r="F16" s="12">
        <v>0</v>
      </c>
      <c r="G16" s="12">
        <v>0</v>
      </c>
      <c r="H16" s="12">
        <f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f>
        <v>3</v>
      </c>
      <c r="I16" t="s">
        <v>75</v>
      </c>
    </row>
    <row r="17" spans="1:9">
      <c r="A17" s="20" t="s">
        <v>108</v>
      </c>
      <c r="B17" t="s">
        <v>85</v>
      </c>
      <c r="C17" s="12">
        <v>2</v>
      </c>
      <c r="D17" s="12">
        <v>1</v>
      </c>
      <c r="E17" s="12">
        <v>2</v>
      </c>
      <c r="F17" s="12">
        <v>0</v>
      </c>
      <c r="G17" s="12">
        <v>0</v>
      </c>
      <c r="H17" s="12">
        <f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f>
        <v>9</v>
      </c>
      <c r="I17" t="s">
        <v>76</v>
      </c>
    </row>
    <row r="18" spans="1:9">
      <c r="A18" s="20" t="s">
        <v>108</v>
      </c>
      <c r="B18" t="s">
        <v>85</v>
      </c>
      <c r="C18" s="12">
        <v>3</v>
      </c>
      <c r="D18" s="12">
        <v>1</v>
      </c>
      <c r="E18" s="12">
        <v>3</v>
      </c>
      <c r="F18" s="12">
        <v>0</v>
      </c>
      <c r="G18" s="12">
        <v>0</v>
      </c>
      <c r="H18" s="12">
        <f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f>
        <v>27</v>
      </c>
      <c r="I18" t="s">
        <v>77</v>
      </c>
    </row>
    <row r="19" spans="1:9">
      <c r="A19" s="20" t="s">
        <v>108</v>
      </c>
      <c r="B19" t="s">
        <v>85</v>
      </c>
      <c r="C19" s="12">
        <v>4</v>
      </c>
      <c r="D19" s="12">
        <v>1</v>
      </c>
      <c r="E19" s="12">
        <v>4</v>
      </c>
      <c r="F19" s="12">
        <v>0</v>
      </c>
      <c r="G19" s="12">
        <v>0</v>
      </c>
      <c r="H19" s="12">
        <f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f>
        <v>81</v>
      </c>
      <c r="I19" t="s">
        <v>78</v>
      </c>
    </row>
    <row r="20" spans="1:9">
      <c r="A20" s="20" t="s">
        <v>108</v>
      </c>
      <c r="B20" t="s">
        <v>85</v>
      </c>
      <c r="C20" s="12">
        <v>5</v>
      </c>
      <c r="D20" s="12">
        <v>1</v>
      </c>
      <c r="E20" s="12">
        <v>5</v>
      </c>
      <c r="F20" s="12">
        <v>0</v>
      </c>
      <c r="G20" s="12">
        <v>0</v>
      </c>
      <c r="H20" s="12">
        <f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f>
        <v>243</v>
      </c>
      <c r="I20" t="s">
        <v>79</v>
      </c>
    </row>
    <row r="21" spans="1:9">
      <c r="A21" s="20" t="s">
        <v>108</v>
      </c>
      <c r="B21" t="s">
        <v>85</v>
      </c>
      <c r="C21" s="12">
        <v>6</v>
      </c>
      <c r="D21" s="12">
        <v>1</v>
      </c>
      <c r="E21" s="12">
        <v>7</v>
      </c>
      <c r="F21" s="12">
        <v>0</v>
      </c>
      <c r="G21" s="12">
        <v>0</v>
      </c>
      <c r="H21" s="12">
        <f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f>
        <v>2187</v>
      </c>
      <c r="I21" t="s">
        <v>81</v>
      </c>
    </row>
    <row r="22" spans="1:9">
      <c r="A22" s="20" t="s">
        <v>108</v>
      </c>
      <c r="B22" t="s">
        <v>85</v>
      </c>
      <c r="C22" s="12">
        <v>7</v>
      </c>
      <c r="D22" s="12">
        <v>1</v>
      </c>
      <c r="E22" s="12">
        <v>8</v>
      </c>
      <c r="F22" s="12">
        <v>0</v>
      </c>
      <c r="G22" s="12">
        <v>0</v>
      </c>
      <c r="H22" s="12">
        <f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f>
        <v>6561</v>
      </c>
      <c r="I22" t="s">
        <v>82</v>
      </c>
    </row>
    <row r="23" spans="1:9">
      <c r="A23" s="20" t="s">
        <v>108</v>
      </c>
      <c r="B23" t="s">
        <v>85</v>
      </c>
      <c r="C23" s="12">
        <v>8</v>
      </c>
      <c r="D23" s="12">
        <v>1</v>
      </c>
      <c r="E23" s="12">
        <v>9</v>
      </c>
      <c r="F23" s="12">
        <v>0</v>
      </c>
      <c r="G23" s="12">
        <v>0</v>
      </c>
      <c r="H23" s="12">
        <f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f>
        <v>19683</v>
      </c>
      <c r="I23" t="s">
        <v>86</v>
      </c>
    </row>
    <row r="24" spans="1:9">
      <c r="A24" s="20" t="s">
        <v>108</v>
      </c>
      <c r="B24" t="s">
        <v>85</v>
      </c>
      <c r="C24" s="12">
        <v>9</v>
      </c>
      <c r="D24" s="12">
        <v>1</v>
      </c>
      <c r="E24" s="12">
        <v>10</v>
      </c>
      <c r="F24" s="12">
        <v>-1</v>
      </c>
      <c r="G24" s="12">
        <v>8</v>
      </c>
      <c r="H24" s="12">
        <f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f>
        <v>52488</v>
      </c>
      <c r="I24" t="s">
        <v>84</v>
      </c>
    </row>
    <row r="25" spans="1:9">
      <c r="A25" s="20" t="s">
        <v>108</v>
      </c>
      <c r="B25" t="s">
        <v>85</v>
      </c>
      <c r="C25" s="12">
        <v>10</v>
      </c>
      <c r="D25" s="12">
        <v>1</v>
      </c>
      <c r="E25" s="12">
        <v>11</v>
      </c>
      <c r="F25" s="12">
        <v>-1</v>
      </c>
      <c r="G25" s="12">
        <v>9</v>
      </c>
      <c r="H25" s="12">
        <f>tblConvolution[[#This Row],[Coeff 1]]*_xlfn.XLOOKUP(tblConvolution[[#This Row],[Rapport]],tblRegles[Rapport],tblRegles[k])^tblConvolution[[#This Row],[Exposant 1]]+tblConvolution[[#This Row],[Coeff 2]]*_xlfn.XLOOKUP(tblConvolution[[#This Row],[Rapport]],tblRegles[Rapport],tblRegles[k])^tblConvolution[[#This Row],[Exposant 2]]</f>
        <v>157464</v>
      </c>
      <c r="I25" t="s">
        <v>87</v>
      </c>
    </row>
  </sheetData>
  <mergeCells count="3">
    <mergeCell ref="A1:I1"/>
    <mergeCell ref="A2:I2"/>
    <mergeCell ref="A4:I4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E0AB-44A1-49A0-B638-C5D46C931673}">
  <dimension ref="A1:J93"/>
  <sheetViews>
    <sheetView topLeftCell="D35" workbookViewId="0">
      <selection activeCell="F54" sqref="F54"/>
    </sheetView>
  </sheetViews>
  <sheetFormatPr baseColWidth="10" defaultRowHeight="14.4"/>
  <cols>
    <col min="1" max="1" width="13.88671875" customWidth="1"/>
    <col min="2" max="2" width="22.21875" customWidth="1"/>
    <col min="3" max="3" width="13.88671875" customWidth="1"/>
    <col min="4" max="4" width="26.88671875" customWidth="1"/>
    <col min="5" max="5" width="19.44140625" customWidth="1"/>
    <col min="6" max="6" width="17.5546875" customWidth="1"/>
    <col min="7" max="7" width="18.5546875" customWidth="1"/>
    <col min="8" max="9" width="13.88671875" customWidth="1"/>
    <col min="10" max="10" width="21.33203125" customWidth="1"/>
  </cols>
  <sheetData>
    <row r="1" spans="1:10" ht="30" customHeight="1">
      <c r="A1" s="2" t="s">
        <v>88</v>
      </c>
      <c r="B1" s="2"/>
      <c r="C1" s="2"/>
      <c r="D1" s="2"/>
      <c r="E1" s="2"/>
      <c r="F1" s="2"/>
      <c r="G1" s="2"/>
      <c r="H1" s="2"/>
      <c r="I1" s="2"/>
      <c r="J1" s="2"/>
    </row>
    <row r="2" spans="1:10" ht="14.4" customHeight="1">
      <c r="A2" s="3" t="s">
        <v>89</v>
      </c>
      <c r="B2" s="3"/>
      <c r="C2" s="3"/>
      <c r="D2" s="3"/>
      <c r="E2" s="3"/>
      <c r="F2" s="3"/>
      <c r="G2" s="3"/>
      <c r="H2" s="3"/>
      <c r="I2" s="3"/>
      <c r="J2" s="3"/>
    </row>
    <row r="4" spans="1:10" ht="15.6">
      <c r="A4" s="5" t="s">
        <v>90</v>
      </c>
      <c r="B4" s="5"/>
      <c r="C4" s="5"/>
      <c r="D4" s="5"/>
      <c r="E4" s="5"/>
      <c r="F4" s="5"/>
      <c r="G4" s="5"/>
      <c r="H4" s="5"/>
      <c r="I4" s="5"/>
      <c r="J4" s="5"/>
    </row>
    <row r="5" spans="1:10">
      <c r="A5" t="s">
        <v>37</v>
      </c>
      <c r="B5" t="s">
        <v>47</v>
      </c>
      <c r="C5" t="s">
        <v>91</v>
      </c>
      <c r="D5" t="s">
        <v>92</v>
      </c>
      <c r="E5" t="s">
        <v>55</v>
      </c>
      <c r="F5" t="s">
        <v>56</v>
      </c>
      <c r="G5" t="s">
        <v>93</v>
      </c>
    </row>
    <row r="6" spans="1:10">
      <c r="A6" s="20" t="s">
        <v>108</v>
      </c>
      <c r="B6" s="13">
        <v>3</v>
      </c>
      <c r="C6" s="13">
        <v>7</v>
      </c>
      <c r="D6" s="13">
        <v>-1</v>
      </c>
      <c r="E6" s="13">
        <f>SUMIFS(tblConvolution[Valeur],tblConvolution[Rapport],A6,tblConvolution[Suite],"A")</f>
        <v>79824</v>
      </c>
      <c r="F6" s="13">
        <f>SUMIFS(tblConvolution[Valeur],tblConvolution[Rapport],A6,tblConvolution[Suite],"B")</f>
        <v>238746</v>
      </c>
      <c r="G6" s="12" t="str" cm="1">
        <f t="array" ref="G6">_xlfn.LET(_xlpm.p,(F6-(E6+D6*B6^C6))/B6^_xlfn.XLOOKUP(A6,tblRegles[Rapport],tblRegles[Exp reconstruction]),IF(OR(_xlpm.p&lt;&gt;INT(_xlpm.p),_xlpm.p&lt;2),"",_xlfn.LET(_xlpm.q,_xlfn.SEQUENCE(INT(_xlpm.p)),_xlpm.d,TRANSPOSE(_xlfn.SEQUENCE(INT(_xlpm.p))),_xlpm.cnt,MMULT(--(MOD(_xlpm.q,_xlpm.d)=0),_xlfn.SEQUENCE(INT(_xlpm.p),,1,0)),IF(SUM(--(MOD(_xlpm.p,_xlfn.SEQUENCE(INT(_xlpm.p)))=0))=2,SUM(--(_xlpm.cnt=2)),""))))</f>
        <v/>
      </c>
    </row>
    <row r="7" spans="1:10">
      <c r="A7" s="20" t="s">
        <v>108</v>
      </c>
      <c r="B7" s="13">
        <v>3</v>
      </c>
      <c r="C7" s="13">
        <v>7</v>
      </c>
      <c r="D7" s="13">
        <v>1</v>
      </c>
      <c r="E7" s="13">
        <f>SUMIFS(tblConvolution[Valeur],tblConvolution[Rapport],A7,tblConvolution[Suite],"A")</f>
        <v>79824</v>
      </c>
      <c r="F7" s="13">
        <f>SUMIFS(tblConvolution[Valeur],tblConvolution[Rapport],A7,tblConvolution[Suite],"B")</f>
        <v>238746</v>
      </c>
      <c r="G7" s="12" t="str" cm="1">
        <f t="array" ref="G7">_xlfn.LET(_xlpm.p,(F7-(E7+D7*B7^C7))/B7^_xlfn.XLOOKUP(A7,tblRegles[Rapport],tblRegles[Exp reconstruction]),IF(OR(_xlpm.p&lt;&gt;INT(_xlpm.p),_xlpm.p&lt;2),"",_xlfn.LET(_xlpm.q,_xlfn.SEQUENCE(INT(_xlpm.p)),_xlpm.d,TRANSPOSE(_xlfn.SEQUENCE(INT(_xlpm.p))),_xlpm.cnt,MMULT(--(MOD(_xlpm.q,_xlpm.d)=0),_xlfn.SEQUENCE(INT(_xlpm.p),,1,0)),IF(SUM(--(MOD(_xlpm.p,_xlfn.SEQUENCE(INT(_xlpm.p)))=0))=2,SUM(--(_xlpm.cnt=2)),""))))</f>
        <v/>
      </c>
    </row>
    <row r="8" spans="1:10">
      <c r="A8" s="21" t="s">
        <v>108</v>
      </c>
      <c r="B8" s="14">
        <v>3</v>
      </c>
      <c r="C8" s="14">
        <v>8</v>
      </c>
      <c r="D8" s="14">
        <v>-1</v>
      </c>
      <c r="E8" s="14">
        <f>SUMIFS(tblConvolution[Valeur],tblConvolution[Rapport],A8,tblConvolution[Suite],"A")</f>
        <v>79824</v>
      </c>
      <c r="F8" s="14">
        <f>SUMIFS(tblConvolution[Valeur],tblConvolution[Rapport],A8,tblConvolution[Suite],"B")</f>
        <v>238746</v>
      </c>
      <c r="G8" s="15" cm="1">
        <f t="array" ref="G8">_xlfn.LET(_xlpm.p,(F8-(E8+D8*B8^C8))/B8^_xlfn.XLOOKUP(A8,tblRegles[Rapport],tblRegles[Exp reconstruction]),IF(OR(_xlpm.p&lt;&gt;INT(_xlpm.p),_xlpm.p&lt;2),"",_xlfn.LET(_xlpm.q,_xlfn.SEQUENCE(INT(_xlpm.p)),_xlpm.d,TRANSPOSE(_xlfn.SEQUENCE(INT(_xlpm.p))),_xlpm.cnt,MMULT(--(MOD(_xlpm.q,_xlpm.d)=0),_xlfn.SEQUENCE(INT(_xlpm.p),,1,0)),IF(SUM(--(MOD(_xlpm.p,_xlfn.SEQUENCE(INT(_xlpm.p)))=0))=2,SUM(--(_xlpm.cnt=2)),""))))</f>
        <v>49</v>
      </c>
    </row>
    <row r="9" spans="1:10">
      <c r="A9" s="20" t="s">
        <v>108</v>
      </c>
      <c r="B9" s="13">
        <v>3</v>
      </c>
      <c r="C9" s="13">
        <v>8</v>
      </c>
      <c r="D9" s="13">
        <v>1</v>
      </c>
      <c r="E9" s="13">
        <f>SUMIFS(tblConvolution[Valeur],tblConvolution[Rapport],A9,tblConvolution[Suite],"A")</f>
        <v>79824</v>
      </c>
      <c r="F9" s="13">
        <f>SUMIFS(tblConvolution[Valeur],tblConvolution[Rapport],A9,tblConvolution[Suite],"B")</f>
        <v>238746</v>
      </c>
      <c r="G9" s="12" t="str" cm="1">
        <f t="array" ref="G9">_xlfn.LET(_xlpm.p,(F9-(E9+D9*B9^C9))/B9^_xlfn.XLOOKUP(A9,tblRegles[Rapport],tblRegles[Exp reconstruction]),IF(OR(_xlpm.p&lt;&gt;INT(_xlpm.p),_xlpm.p&lt;2),"",_xlfn.LET(_xlpm.q,_xlfn.SEQUENCE(INT(_xlpm.p)),_xlpm.d,TRANSPOSE(_xlfn.SEQUENCE(INT(_xlpm.p))),_xlpm.cnt,MMULT(--(MOD(_xlpm.q,_xlpm.d)=0),_xlfn.SEQUENCE(INT(_xlpm.p),,1,0)),IF(SUM(--(MOD(_xlpm.p,_xlfn.SEQUENCE(INT(_xlpm.p)))=0))=2,SUM(--(_xlpm.cnt=2)),""))))</f>
        <v/>
      </c>
    </row>
    <row r="11" spans="1:10">
      <c r="A11" s="4" t="s">
        <v>94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ht="14.4" customHeight="1">
      <c r="A12" s="16" t="s">
        <v>95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ht="14.4" customHeight="1">
      <c r="A13" s="16" t="s">
        <v>96</v>
      </c>
      <c r="B13" s="16"/>
      <c r="C13" s="16"/>
      <c r="D13" s="16"/>
      <c r="E13" s="16"/>
      <c r="F13" s="16"/>
      <c r="G13" s="16"/>
      <c r="H13" s="16"/>
      <c r="I13" s="16"/>
      <c r="J13" s="16"/>
    </row>
    <row r="21" spans="3:9">
      <c r="C21" s="22" t="s">
        <v>91</v>
      </c>
      <c r="D21" s="22" t="s">
        <v>109</v>
      </c>
      <c r="E21" s="22" t="s">
        <v>110</v>
      </c>
      <c r="G21" s="22" t="s">
        <v>91</v>
      </c>
      <c r="H21" s="22" t="s">
        <v>109</v>
      </c>
      <c r="I21" s="22" t="s">
        <v>110</v>
      </c>
    </row>
    <row r="22" spans="3:9">
      <c r="C22" s="22">
        <v>1</v>
      </c>
      <c r="D22" s="24" t="s">
        <v>111</v>
      </c>
      <c r="E22" s="23" t="s">
        <v>111</v>
      </c>
      <c r="G22" s="22">
        <v>1</v>
      </c>
      <c r="H22" s="24" t="s">
        <v>111</v>
      </c>
      <c r="I22" s="23" t="s">
        <v>111</v>
      </c>
    </row>
    <row r="23" spans="3:9">
      <c r="C23" s="22">
        <v>2</v>
      </c>
      <c r="D23" s="24" t="s">
        <v>112</v>
      </c>
      <c r="E23" s="23" t="s">
        <v>112</v>
      </c>
      <c r="G23" s="22">
        <v>2</v>
      </c>
      <c r="H23" s="24" t="s">
        <v>112</v>
      </c>
      <c r="I23" s="23" t="s">
        <v>112</v>
      </c>
    </row>
    <row r="24" spans="3:9">
      <c r="C24" s="22">
        <v>3</v>
      </c>
      <c r="D24" s="24" t="s">
        <v>113</v>
      </c>
      <c r="E24" s="23" t="s">
        <v>113</v>
      </c>
      <c r="G24" s="22">
        <v>3</v>
      </c>
      <c r="H24" s="24" t="s">
        <v>113</v>
      </c>
      <c r="I24" s="23" t="s">
        <v>113</v>
      </c>
    </row>
    <row r="25" spans="3:9">
      <c r="C25" s="22">
        <v>4</v>
      </c>
      <c r="D25" s="24" t="s">
        <v>114</v>
      </c>
      <c r="E25" s="23" t="s">
        <v>114</v>
      </c>
      <c r="G25" s="22">
        <v>4</v>
      </c>
      <c r="H25" s="24" t="s">
        <v>114</v>
      </c>
      <c r="I25" s="23" t="s">
        <v>114</v>
      </c>
    </row>
    <row r="26" spans="3:9">
      <c r="C26" s="22">
        <v>5</v>
      </c>
      <c r="D26" s="24" t="s">
        <v>115</v>
      </c>
      <c r="E26" s="23" t="s">
        <v>115</v>
      </c>
      <c r="G26" s="22">
        <v>5</v>
      </c>
      <c r="H26" s="24" t="s">
        <v>115</v>
      </c>
      <c r="I26" s="23" t="s">
        <v>115</v>
      </c>
    </row>
    <row r="27" spans="3:9">
      <c r="C27" s="22">
        <v>6</v>
      </c>
      <c r="D27" s="24" t="s">
        <v>116</v>
      </c>
      <c r="E27" s="23" t="s">
        <v>116</v>
      </c>
      <c r="G27" s="22">
        <v>6</v>
      </c>
      <c r="H27" s="24" t="s">
        <v>116</v>
      </c>
      <c r="I27" s="23" t="s">
        <v>116</v>
      </c>
    </row>
    <row r="28" spans="3:9">
      <c r="C28" s="22">
        <v>7</v>
      </c>
      <c r="D28" s="24" t="s">
        <v>117</v>
      </c>
      <c r="E28" s="23" t="s">
        <v>117</v>
      </c>
      <c r="G28" s="22">
        <v>7</v>
      </c>
      <c r="H28" s="24" t="s">
        <v>117</v>
      </c>
      <c r="I28" s="23" t="s">
        <v>117</v>
      </c>
    </row>
    <row r="29" spans="3:9">
      <c r="C29" s="22">
        <v>8</v>
      </c>
      <c r="D29" s="24" t="s">
        <v>118</v>
      </c>
      <c r="E29" s="23" t="s">
        <v>118</v>
      </c>
      <c r="G29" s="22">
        <v>8</v>
      </c>
      <c r="H29" s="24" t="s">
        <v>134</v>
      </c>
      <c r="I29" s="23" t="s">
        <v>135</v>
      </c>
    </row>
    <row r="30" spans="3:9">
      <c r="C30" s="22">
        <v>9</v>
      </c>
      <c r="D30" s="24" t="s">
        <v>119</v>
      </c>
      <c r="E30" s="23" t="s">
        <v>120</v>
      </c>
      <c r="G30" s="22">
        <v>9</v>
      </c>
      <c r="H30" s="24" t="s">
        <v>119</v>
      </c>
      <c r="I30" s="23" t="s">
        <v>120</v>
      </c>
    </row>
    <row r="31" spans="3:9" ht="28.8">
      <c r="C31" s="22">
        <v>10</v>
      </c>
      <c r="D31" s="24" t="s">
        <v>121</v>
      </c>
      <c r="E31" s="23" t="s">
        <v>122</v>
      </c>
      <c r="G31" s="22" t="s">
        <v>123</v>
      </c>
      <c r="H31" s="24" t="s">
        <v>136</v>
      </c>
      <c r="I31" s="23" t="s">
        <v>137</v>
      </c>
    </row>
    <row r="32" spans="3:9" ht="43.2">
      <c r="C32" s="22" t="s">
        <v>123</v>
      </c>
      <c r="D32" s="25" t="str">
        <f>_xlfn.TEXTJOIN(" + ",TRUE,D22:D31)</f>
        <v>t_a^1 + t_a^2 + t_a^3 + t_a^4 + t_a^5 + t_a^6 + t_a^7 + t_a^8 + t_a^9 - t_a^7 + t_a^10 - t_a^8</v>
      </c>
      <c r="E32" s="26" t="str">
        <f>_xlfn.TEXTJOIN(" + ",TRUE,E22:E31)</f>
        <v>t_a^1 + t_a^2 + t_a^3 + t_a^4 + t_a^5 + t_a^6 + t_a^7 + t_a^8 + t_a^9 − t_a^7 + t_a^10 − t_a^8</v>
      </c>
      <c r="H32" s="27" t="str" cm="1">
        <f t="array" ref="H32">_xlfn.TEXTJOIN(" + ",TRUE,_xlfn._xlws.FILTER(H22:H31,(H22:H31&lt;&gt;"Somme_A9")*(H22:H31&lt;&gt;"—")))</f>
        <v>t_a^1 + t_a^2 + t_a^3 + t_a^4 + t_a^5 + t_a^6 + t_a^7 + t_a^8 - t_a^6 + t_a^9 - t_a^7</v>
      </c>
      <c r="I32" s="26" t="str" cm="1">
        <f t="array" ref="I32">_xlfn.TEXTJOIN(" + ",TRUE,_xlfn._xlws.FILTER(I22:I31,(H22:H31&lt;&gt;"Somme_A9")*(H22:H31&lt;&gt;"—")))</f>
        <v>t_a^1 + t_a^2 + t_a^3 + t_a^4 + t_a^5 + t_a^6 + t_a^7 + t_a^8 − t_a^6 + t_a^9 − t_a^7</v>
      </c>
    </row>
    <row r="34" spans="3:9" ht="28.8">
      <c r="C34" s="22" t="s">
        <v>91</v>
      </c>
      <c r="D34" s="22" t="s">
        <v>109</v>
      </c>
      <c r="E34" s="22" t="s">
        <v>73</v>
      </c>
      <c r="G34" s="22" t="s">
        <v>91</v>
      </c>
      <c r="H34" s="22" t="s">
        <v>109</v>
      </c>
      <c r="I34" s="22" t="s">
        <v>73</v>
      </c>
    </row>
    <row r="35" spans="3:9">
      <c r="C35" s="22">
        <v>1</v>
      </c>
      <c r="D35" s="24" t="s">
        <v>124</v>
      </c>
      <c r="E35" s="23" t="s">
        <v>124</v>
      </c>
      <c r="G35" s="22">
        <v>1</v>
      </c>
      <c r="H35" s="24" t="s">
        <v>124</v>
      </c>
      <c r="I35" s="23" t="s">
        <v>124</v>
      </c>
    </row>
    <row r="36" spans="3:9">
      <c r="C36" s="22">
        <v>2</v>
      </c>
      <c r="D36" s="24" t="s">
        <v>125</v>
      </c>
      <c r="E36" s="23" t="s">
        <v>125</v>
      </c>
      <c r="G36" s="22">
        <v>2</v>
      </c>
      <c r="H36" s="24" t="s">
        <v>125</v>
      </c>
      <c r="I36" s="23" t="s">
        <v>125</v>
      </c>
    </row>
    <row r="37" spans="3:9">
      <c r="C37" s="22">
        <v>3</v>
      </c>
      <c r="D37" s="24" t="s">
        <v>126</v>
      </c>
      <c r="E37" s="23" t="s">
        <v>126</v>
      </c>
      <c r="G37" s="22">
        <v>3</v>
      </c>
      <c r="H37" s="24" t="s">
        <v>126</v>
      </c>
      <c r="I37" s="23" t="s">
        <v>126</v>
      </c>
    </row>
    <row r="38" spans="3:9">
      <c r="C38" s="22">
        <v>4</v>
      </c>
      <c r="D38" s="24" t="s">
        <v>127</v>
      </c>
      <c r="E38" s="23" t="s">
        <v>127</v>
      </c>
      <c r="G38" s="22">
        <v>4</v>
      </c>
      <c r="H38" s="24" t="s">
        <v>127</v>
      </c>
      <c r="I38" s="23" t="s">
        <v>127</v>
      </c>
    </row>
    <row r="39" spans="3:9">
      <c r="C39" s="22">
        <v>5</v>
      </c>
      <c r="D39" s="24" t="s">
        <v>128</v>
      </c>
      <c r="E39" s="23" t="s">
        <v>128</v>
      </c>
      <c r="G39" s="22">
        <v>5</v>
      </c>
      <c r="H39" s="24" t="s">
        <v>128</v>
      </c>
      <c r="I39" s="23" t="s">
        <v>128</v>
      </c>
    </row>
    <row r="40" spans="3:9">
      <c r="C40" s="22">
        <v>6</v>
      </c>
      <c r="D40" s="24" t="s">
        <v>129</v>
      </c>
      <c r="E40" s="23" t="s">
        <v>129</v>
      </c>
      <c r="G40" s="22">
        <v>6</v>
      </c>
      <c r="H40" s="24" t="s">
        <v>129</v>
      </c>
      <c r="I40" s="23" t="s">
        <v>129</v>
      </c>
    </row>
    <row r="41" spans="3:9">
      <c r="C41" s="22">
        <v>7</v>
      </c>
      <c r="D41" s="24" t="s">
        <v>130</v>
      </c>
      <c r="E41" s="23" t="s">
        <v>130</v>
      </c>
      <c r="G41" s="22">
        <v>7</v>
      </c>
      <c r="H41" s="24" t="s">
        <v>130</v>
      </c>
      <c r="I41" s="23" t="s">
        <v>130</v>
      </c>
    </row>
    <row r="42" spans="3:9">
      <c r="C42" s="22">
        <v>8</v>
      </c>
      <c r="D42" s="24" t="s">
        <v>131</v>
      </c>
      <c r="E42" s="23" t="s">
        <v>131</v>
      </c>
      <c r="G42" s="22">
        <v>8</v>
      </c>
      <c r="H42" s="24" t="s">
        <v>140</v>
      </c>
      <c r="I42" s="23" t="s">
        <v>141</v>
      </c>
    </row>
    <row r="43" spans="3:9">
      <c r="C43" s="22">
        <v>9</v>
      </c>
      <c r="D43" s="24" t="s">
        <v>132</v>
      </c>
      <c r="E43" s="23" t="s">
        <v>138</v>
      </c>
      <c r="G43" s="22">
        <v>9</v>
      </c>
      <c r="H43" s="24" t="s">
        <v>132</v>
      </c>
      <c r="I43" s="23" t="s">
        <v>138</v>
      </c>
    </row>
    <row r="44" spans="3:9">
      <c r="C44" s="22">
        <v>10</v>
      </c>
      <c r="D44" s="24" t="s">
        <v>133</v>
      </c>
      <c r="E44" s="23" t="s">
        <v>139</v>
      </c>
      <c r="G44" s="22" t="s">
        <v>123</v>
      </c>
      <c r="H44" s="24" t="s">
        <v>142</v>
      </c>
      <c r="I44" s="23" t="s">
        <v>143</v>
      </c>
    </row>
    <row r="45" spans="3:9" ht="43.2">
      <c r="C45" s="22" t="s">
        <v>123</v>
      </c>
      <c r="D45" s="28" t="str" cm="1">
        <f t="array" ref="D45">_xlfn.TEXTJOIN(" + ",TRUE,_xlfn._xlws.FILTER(D35:D44,D35:D44&lt;&gt;"—"))</f>
        <v>t_b^1 + t_b^2 + t_b^3 + t_b^4 + t_b^5 + t_b^7 + t_b^8 + t_b^9 + t_b^10 - t_b^8 + t_b^11 - t_b^9</v>
      </c>
      <c r="E45" s="29" t="str" cm="1">
        <f t="array" ref="E45">_xlfn.TEXTJOIN(" + ",TRUE,_xlfn._xlws.FILTER(E35:E44,D35:D44&lt;&gt;"—"))</f>
        <v>t_b^1 + t_b^2 + t_b^3 + t_b^4 + t_b^5 + t_b^7 + t_b^8 + t_b^9 + (t_b^10 − t_b^8) + (t_b^11 − t_b^9)</v>
      </c>
      <c r="H45" s="32" t="str">
        <f>_xlfn.TEXTJOIN(" + ",TRUE,H35:H43)</f>
        <v>t_b^1 + t_b^2 + t_b^3 + t_b^4 + t_b^5 + t_b^7 + t_b^8 + t_b^9 - t_b^7 + t_b^10 - t_b^8</v>
      </c>
      <c r="I45" s="32" t="str">
        <f>_xlfn.TEXTJOIN(" + ",TRUE,I35:I43)</f>
        <v>t_b^1 + t_b^2 + t_b^3 + t_b^4 + t_b^5 + t_b^7 + t_b^8 + (t_b^9 − t_b^7) + (t_b^10 − t_b^8)</v>
      </c>
    </row>
    <row r="47" spans="3:9">
      <c r="C47" t="s">
        <v>144</v>
      </c>
      <c r="D47" t="s">
        <v>50</v>
      </c>
      <c r="E47" t="s">
        <v>145</v>
      </c>
      <c r="F47" t="s">
        <v>146</v>
      </c>
      <c r="G47" t="s">
        <v>150</v>
      </c>
      <c r="H47" t="s">
        <v>151</v>
      </c>
      <c r="I47" t="s">
        <v>52</v>
      </c>
    </row>
    <row r="48" spans="3:9" ht="28.8">
      <c r="C48" s="33">
        <v>1</v>
      </c>
      <c r="D48" s="34">
        <v>7</v>
      </c>
      <c r="E48" s="33" t="s">
        <v>117</v>
      </c>
      <c r="F48" s="33" t="s">
        <v>147</v>
      </c>
      <c r="G48" s="18" t="str">
        <f>"Somme_A10 "&amp;F48&amp;" "&amp;E48</f>
        <v>Somme_A10 + t_a^7</v>
      </c>
      <c r="H48" s="18" t="str">
        <f>"("&amp;$E$32&amp;") "&amp;F48&amp;" "&amp;E48</f>
        <v>(t_a^1 + t_a^2 + t_a^3 + t_a^4 + t_a^5 + t_a^6 + t_a^7 + t_a^8 + t_a^9 − t_a^7 + t_a^10 − t_a^8) + t_a^7</v>
      </c>
      <c r="I48" s="18" t="str">
        <f>IF(AND(D48=_xlfn.XLOOKUP(Parametres!$A$11,tblRegles[Rapport],tblRegles[Position Digamma]),F48=IF(_xlfn.XLOOKUP(Parametres!$A$11,tblRegles[Rapport],tblRegles[Signe Digamma])=1,"+","−")),"Option retenue pour "&amp;Parametres!$A$11,"Candidate")</f>
        <v>Candidate</v>
      </c>
    </row>
    <row r="49" spans="1:10" ht="28.8">
      <c r="C49" s="33">
        <v>2</v>
      </c>
      <c r="D49" s="34">
        <v>7</v>
      </c>
      <c r="E49" s="33" t="s">
        <v>117</v>
      </c>
      <c r="F49" s="33" t="s">
        <v>149</v>
      </c>
      <c r="G49" s="18" t="str">
        <f t="shared" ref="G49:G51" si="0">"Somme_A10 "&amp;F49&amp;" "&amp;E49</f>
        <v>Somme_A10 − t_a^7</v>
      </c>
      <c r="H49" s="18" t="str">
        <f t="shared" ref="H49:H51" si="1">"("&amp;$E$32&amp;") "&amp;F49&amp;" "&amp;E49</f>
        <v>(t_a^1 + t_a^2 + t_a^3 + t_a^4 + t_a^5 + t_a^6 + t_a^7 + t_a^8 + t_a^9 − t_a^7 + t_a^10 − t_a^8) − t_a^7</v>
      </c>
      <c r="I49" s="18" t="str">
        <f>IF(AND(D49=_xlfn.XLOOKUP(Parametres!$A$11,tblRegles[Rapport],tblRegles[Position Digamma]),F49=IF(_xlfn.XLOOKUP(Parametres!$A$11,tblRegles[Rapport],tblRegles[Signe Digamma])=1,"+","−")),"Option retenue pour "&amp;Parametres!$A$11,"Candidate")</f>
        <v>Candidate</v>
      </c>
    </row>
    <row r="50" spans="1:10" ht="28.8">
      <c r="C50" s="33">
        <v>3</v>
      </c>
      <c r="D50" s="34">
        <v>8</v>
      </c>
      <c r="E50" s="33" t="s">
        <v>118</v>
      </c>
      <c r="F50" s="33" t="s">
        <v>147</v>
      </c>
      <c r="G50" s="18" t="str">
        <f t="shared" si="0"/>
        <v>Somme_A10 + t_a^8</v>
      </c>
      <c r="H50" s="18" t="str">
        <f t="shared" si="1"/>
        <v>(t_a^1 + t_a^2 + t_a^3 + t_a^4 + t_a^5 + t_a^6 + t_a^7 + t_a^8 + t_a^9 − t_a^7 + t_a^10 − t_a^8) + t_a^8</v>
      </c>
      <c r="I50" s="18" t="str">
        <f>IF(AND(D50=_xlfn.XLOOKUP(Parametres!$A$11,tblRegles[Rapport],tblRegles[Position Digamma]),F50=IF(_xlfn.XLOOKUP(Parametres!$A$11,tblRegles[Rapport],tblRegles[Signe Digamma])=1,"+","−")),"Option retenue pour "&amp;Parametres!$A$11,"Candidate")</f>
        <v>Candidate</v>
      </c>
    </row>
    <row r="51" spans="1:10" ht="28.8">
      <c r="C51" s="33">
        <v>4</v>
      </c>
      <c r="D51" s="34">
        <v>8</v>
      </c>
      <c r="E51" s="33" t="s">
        <v>118</v>
      </c>
      <c r="F51" s="33" t="s">
        <v>149</v>
      </c>
      <c r="G51" s="18" t="str">
        <f t="shared" si="0"/>
        <v>Somme_A10 − t_a^8</v>
      </c>
      <c r="H51" s="18" t="str">
        <f t="shared" si="1"/>
        <v>(t_a^1 + t_a^2 + t_a^3 + t_a^4 + t_a^5 + t_a^6 + t_a^7 + t_a^8 + t_a^9 − t_a^7 + t_a^10 − t_a^8) − t_a^8</v>
      </c>
      <c r="I51" s="18" t="str">
        <f>IF(AND(D51=_xlfn.XLOOKUP(Parametres!$A$11,tblRegles[Rapport],tblRegles[Position Digamma]),F51=IF(_xlfn.XLOOKUP(Parametres!$A$11,tblRegles[Rapport],tblRegles[Signe Digamma])=1,"+","−")),"Option retenue pour "&amp;Parametres!$A$11,"Candidate")</f>
        <v>Option retenue pour 1/3</v>
      </c>
    </row>
    <row r="53" spans="1:10" ht="28.8">
      <c r="E53" s="35" t="s">
        <v>144</v>
      </c>
      <c r="F53" s="35" t="s">
        <v>152</v>
      </c>
      <c r="G53" s="35" t="s">
        <v>153</v>
      </c>
      <c r="H53" s="35" t="s">
        <v>154</v>
      </c>
      <c r="I53" s="35" t="s">
        <v>155</v>
      </c>
      <c r="J53" s="35" t="s">
        <v>58</v>
      </c>
    </row>
    <row r="54" spans="1:10">
      <c r="E54" s="36">
        <v>1</v>
      </c>
      <c r="F54" s="38">
        <f>Parametres!$B$11+IF($F$48="+",1,-1)*Parametres!$B$6^$D$48</f>
        <v>82011</v>
      </c>
      <c r="G54" s="38">
        <f>Parametres!$C$11</f>
        <v>238746</v>
      </c>
      <c r="H54" s="38">
        <f>Parametres!$B$6^Parametres!$D$6</f>
        <v>729</v>
      </c>
      <c r="I54" s="37" t="str">
        <f>"("&amp;TEXT(G54,"0")&amp;" − "&amp;TEXT(F54,"0")&amp;") / "&amp;TEXT(H54,"0")</f>
        <v>(238746 − 82011) / 729</v>
      </c>
      <c r="J54" s="39">
        <f>(G54-F54)/H54</f>
        <v>215</v>
      </c>
    </row>
    <row r="55" spans="1:10">
      <c r="E55" s="36">
        <v>2</v>
      </c>
      <c r="F55" s="38">
        <f>Parametres!$B$11+IF($F$49="+",1,-1)*Parametres!$B$6^$D$49</f>
        <v>77637</v>
      </c>
      <c r="G55" s="38">
        <f>Parametres!$C$11</f>
        <v>238746</v>
      </c>
      <c r="H55" s="38">
        <f>Parametres!$B$6^Parametres!$D$6</f>
        <v>729</v>
      </c>
      <c r="I55" s="37" t="str">
        <f>"("&amp;TEXT(G55,"0")&amp;" − "&amp;TEXT(F55,"0")&amp;") / "&amp;TEXT(H55,"0")</f>
        <v>(238746 − 77637) / 729</v>
      </c>
      <c r="J55" s="39">
        <f>(G55-F55)/H55</f>
        <v>221</v>
      </c>
    </row>
    <row r="56" spans="1:10">
      <c r="E56" s="36">
        <v>3</v>
      </c>
      <c r="F56" s="38">
        <f>Parametres!$B$11+IF($F$50="+",1,-1)*Parametres!$B$6^$D$50</f>
        <v>86385</v>
      </c>
      <c r="G56" s="38">
        <f>Parametres!$C$11</f>
        <v>238746</v>
      </c>
      <c r="H56" s="38">
        <f>Parametres!$B$6^Parametres!$D$6</f>
        <v>729</v>
      </c>
      <c r="I56" s="37" t="str">
        <f>"("&amp;TEXT(G56,"0")&amp;" − "&amp;TEXT(F56,"0")&amp;") / "&amp;TEXT(H56,"0")</f>
        <v>(238746 − 86385) / 729</v>
      </c>
      <c r="J56" s="39">
        <f>(G56-F56)/H56</f>
        <v>209</v>
      </c>
    </row>
    <row r="57" spans="1:10">
      <c r="E57" s="40">
        <v>4</v>
      </c>
      <c r="F57" s="41">
        <f>Parametres!$B$11+IF($F$51="+",1,-1)*Parametres!$B$6^$D$51</f>
        <v>73263</v>
      </c>
      <c r="G57" s="41">
        <f>Parametres!$C$11</f>
        <v>238746</v>
      </c>
      <c r="H57" s="41">
        <f>Parametres!$B$6^Parametres!$D$6</f>
        <v>729</v>
      </c>
      <c r="I57" s="42" t="str">
        <f>"("&amp;TEXT(G57,"0")&amp;" − "&amp;TEXT(F57,"0")&amp;") / "&amp;TEXT(H57,"0")</f>
        <v>(238746 − 73263) / 729</v>
      </c>
      <c r="J57" s="43">
        <f>(G57-F57)/H57</f>
        <v>227</v>
      </c>
    </row>
    <row r="60" spans="1:10" ht="25.95" customHeight="1">
      <c r="A60" s="44" t="s">
        <v>156</v>
      </c>
      <c r="B60" s="44"/>
      <c r="C60" s="44"/>
      <c r="D60" s="44"/>
      <c r="E60" s="44"/>
      <c r="F60" s="44"/>
      <c r="G60" s="44"/>
      <c r="H60" s="44"/>
      <c r="I60" s="44"/>
      <c r="J60" s="44"/>
    </row>
    <row r="61" spans="1:10">
      <c r="A61" s="45" t="s">
        <v>157</v>
      </c>
      <c r="B61" s="45"/>
      <c r="C61" s="45"/>
      <c r="D61" s="45"/>
      <c r="E61" s="45"/>
      <c r="F61" s="45"/>
      <c r="G61" s="45"/>
      <c r="H61" s="45"/>
      <c r="I61" s="45"/>
      <c r="J61" s="45"/>
    </row>
    <row r="63" spans="1:10">
      <c r="A63" s="46" t="s">
        <v>158</v>
      </c>
      <c r="B63" s="46" t="s">
        <v>73</v>
      </c>
      <c r="C63" s="46" t="s">
        <v>159</v>
      </c>
      <c r="D63" s="46" t="s">
        <v>72</v>
      </c>
      <c r="F63" s="46" t="s">
        <v>160</v>
      </c>
      <c r="G63" s="46" t="s">
        <v>73</v>
      </c>
      <c r="H63" s="46" t="s">
        <v>159</v>
      </c>
      <c r="I63" s="46" t="s">
        <v>72</v>
      </c>
    </row>
    <row r="64" spans="1:10">
      <c r="A64">
        <v>1</v>
      </c>
      <c r="B64" t="s">
        <v>75</v>
      </c>
      <c r="C64" t="s">
        <v>161</v>
      </c>
      <c r="D64" s="13">
        <f>Parametres!$B$6^A64</f>
        <v>3</v>
      </c>
      <c r="F64">
        <v>1</v>
      </c>
      <c r="G64" t="s">
        <v>75</v>
      </c>
      <c r="H64" t="s">
        <v>173</v>
      </c>
      <c r="I64" s="13">
        <f>Parametres!$B$6^F64</f>
        <v>3</v>
      </c>
    </row>
    <row r="65" spans="1:9">
      <c r="A65">
        <v>2</v>
      </c>
      <c r="B65" t="s">
        <v>76</v>
      </c>
      <c r="C65" t="s">
        <v>161</v>
      </c>
      <c r="D65" s="13">
        <f>Parametres!$B$6^A65</f>
        <v>9</v>
      </c>
      <c r="F65">
        <v>2</v>
      </c>
      <c r="G65" t="s">
        <v>76</v>
      </c>
      <c r="H65" t="s">
        <v>173</v>
      </c>
      <c r="I65" s="13">
        <f>Parametres!$B$6^F65</f>
        <v>9</v>
      </c>
    </row>
    <row r="66" spans="1:9">
      <c r="A66">
        <v>3</v>
      </c>
      <c r="B66" t="s">
        <v>77</v>
      </c>
      <c r="C66" t="s">
        <v>161</v>
      </c>
      <c r="D66" s="13">
        <f>Parametres!$B$6^A66</f>
        <v>27</v>
      </c>
      <c r="F66">
        <v>3</v>
      </c>
      <c r="G66" t="s">
        <v>77</v>
      </c>
      <c r="H66" t="s">
        <v>173</v>
      </c>
      <c r="I66" s="13">
        <f>Parametres!$B$6^F66</f>
        <v>27</v>
      </c>
    </row>
    <row r="67" spans="1:9">
      <c r="A67">
        <v>4</v>
      </c>
      <c r="B67" t="s">
        <v>78</v>
      </c>
      <c r="C67" t="s">
        <v>161</v>
      </c>
      <c r="D67" s="13">
        <f>Parametres!$B$6^A67</f>
        <v>81</v>
      </c>
      <c r="F67">
        <v>4</v>
      </c>
      <c r="G67" t="s">
        <v>78</v>
      </c>
      <c r="H67" t="s">
        <v>173</v>
      </c>
      <c r="I67" s="13">
        <f>Parametres!$B$6^F67</f>
        <v>81</v>
      </c>
    </row>
    <row r="68" spans="1:9">
      <c r="A68">
        <v>5</v>
      </c>
      <c r="B68" t="s">
        <v>79</v>
      </c>
      <c r="C68" t="s">
        <v>161</v>
      </c>
      <c r="D68" s="13">
        <f>Parametres!$B$6^A68</f>
        <v>243</v>
      </c>
      <c r="F68">
        <v>5</v>
      </c>
      <c r="G68" t="s">
        <v>79</v>
      </c>
      <c r="H68" t="s">
        <v>173</v>
      </c>
      <c r="I68" s="13">
        <f>Parametres!$B$6^F68</f>
        <v>243</v>
      </c>
    </row>
    <row r="69" spans="1:9">
      <c r="A69">
        <v>6</v>
      </c>
      <c r="B69" t="s">
        <v>80</v>
      </c>
      <c r="C69" t="s">
        <v>161</v>
      </c>
      <c r="D69" s="13">
        <f>Parametres!$B$6^A69</f>
        <v>729</v>
      </c>
      <c r="F69">
        <v>6</v>
      </c>
      <c r="G69" t="s">
        <v>174</v>
      </c>
      <c r="H69" t="s">
        <v>175</v>
      </c>
      <c r="I69" s="13">
        <f>Parametres!$B$6^7</f>
        <v>2187</v>
      </c>
    </row>
    <row r="70" spans="1:9">
      <c r="A70">
        <v>7</v>
      </c>
      <c r="B70" t="s">
        <v>81</v>
      </c>
      <c r="C70" t="s">
        <v>161</v>
      </c>
      <c r="D70" s="13">
        <f>Parametres!$B$6^A70</f>
        <v>2187</v>
      </c>
      <c r="F70">
        <v>7</v>
      </c>
      <c r="G70" t="s">
        <v>82</v>
      </c>
      <c r="H70" t="s">
        <v>173</v>
      </c>
      <c r="I70" s="13">
        <f>Parametres!$B$6^(F70+1)</f>
        <v>6561</v>
      </c>
    </row>
    <row r="71" spans="1:9">
      <c r="A71">
        <v>8</v>
      </c>
      <c r="B71" t="s">
        <v>82</v>
      </c>
      <c r="C71" t="s">
        <v>161</v>
      </c>
      <c r="D71" s="13">
        <f>Parametres!$B$6^A71</f>
        <v>6561</v>
      </c>
      <c r="F71">
        <v>8</v>
      </c>
      <c r="G71" t="s">
        <v>86</v>
      </c>
      <c r="H71" t="s">
        <v>173</v>
      </c>
      <c r="I71" s="13">
        <f>Parametres!$B$6^(F71+1)</f>
        <v>19683</v>
      </c>
    </row>
    <row r="72" spans="1:9">
      <c r="A72">
        <v>9</v>
      </c>
      <c r="B72" t="s">
        <v>86</v>
      </c>
      <c r="C72" t="s">
        <v>161</v>
      </c>
      <c r="D72" s="13">
        <f>Parametres!$B$6^A72</f>
        <v>19683</v>
      </c>
      <c r="F72">
        <v>9</v>
      </c>
      <c r="G72" t="s">
        <v>162</v>
      </c>
      <c r="H72" t="s">
        <v>173</v>
      </c>
      <c r="I72" s="13">
        <f>Parametres!$B$6^(F72+1)</f>
        <v>59049</v>
      </c>
    </row>
    <row r="73" spans="1:9">
      <c r="A73">
        <v>10</v>
      </c>
      <c r="B73" t="s">
        <v>162</v>
      </c>
      <c r="C73" t="s">
        <v>161</v>
      </c>
      <c r="D73" s="13">
        <f>Parametres!$B$6^A73</f>
        <v>59049</v>
      </c>
      <c r="F73">
        <v>10</v>
      </c>
      <c r="G73" t="s">
        <v>163</v>
      </c>
      <c r="H73" t="s">
        <v>173</v>
      </c>
      <c r="I73" s="13">
        <f>Parametres!$B$6^(F73+1)</f>
        <v>177147</v>
      </c>
    </row>
    <row r="74" spans="1:9">
      <c r="A74">
        <v>11</v>
      </c>
      <c r="B74" t="s">
        <v>163</v>
      </c>
      <c r="C74" t="s">
        <v>161</v>
      </c>
      <c r="D74" s="13">
        <f>Parametres!$B$6^A74</f>
        <v>177147</v>
      </c>
      <c r="F74">
        <v>11</v>
      </c>
      <c r="G74" t="s">
        <v>164</v>
      </c>
      <c r="H74" t="s">
        <v>173</v>
      </c>
      <c r="I74" s="13">
        <f>Parametres!$B$6^(F74+1)</f>
        <v>531441</v>
      </c>
    </row>
    <row r="75" spans="1:9">
      <c r="A75">
        <v>12</v>
      </c>
      <c r="B75" t="s">
        <v>164</v>
      </c>
      <c r="C75" t="s">
        <v>161</v>
      </c>
      <c r="D75" s="13">
        <f>Parametres!$B$6^A75</f>
        <v>531441</v>
      </c>
      <c r="F75">
        <v>12</v>
      </c>
      <c r="G75" t="s">
        <v>165</v>
      </c>
      <c r="H75" t="s">
        <v>173</v>
      </c>
      <c r="I75" s="13">
        <f>Parametres!$B$6^(F75+1)</f>
        <v>1594323</v>
      </c>
    </row>
    <row r="76" spans="1:9">
      <c r="A76">
        <v>13</v>
      </c>
      <c r="B76" t="s">
        <v>165</v>
      </c>
      <c r="C76" t="s">
        <v>161</v>
      </c>
      <c r="D76" s="13">
        <f>Parametres!$B$6^A76</f>
        <v>1594323</v>
      </c>
      <c r="F76">
        <v>13</v>
      </c>
      <c r="G76" t="s">
        <v>166</v>
      </c>
      <c r="H76" t="s">
        <v>173</v>
      </c>
      <c r="I76" s="13">
        <f>Parametres!$B$6^(F76+1)</f>
        <v>4782969</v>
      </c>
    </row>
    <row r="77" spans="1:9">
      <c r="A77">
        <v>14</v>
      </c>
      <c r="B77" t="s">
        <v>166</v>
      </c>
      <c r="C77" t="s">
        <v>161</v>
      </c>
      <c r="D77" s="13">
        <f>Parametres!$B$6^A77</f>
        <v>4782969</v>
      </c>
      <c r="F77">
        <v>14</v>
      </c>
      <c r="G77" t="s">
        <v>167</v>
      </c>
      <c r="H77" t="s">
        <v>173</v>
      </c>
      <c r="I77" s="13">
        <f>Parametres!$B$6^(F77+1)</f>
        <v>14348907</v>
      </c>
    </row>
    <row r="78" spans="1:9">
      <c r="A78">
        <v>15</v>
      </c>
      <c r="B78" t="s">
        <v>167</v>
      </c>
      <c r="C78" t="s">
        <v>161</v>
      </c>
      <c r="D78" s="13">
        <f>Parametres!$B$6^A78</f>
        <v>14348907</v>
      </c>
      <c r="F78">
        <v>15</v>
      </c>
      <c r="G78" t="s">
        <v>168</v>
      </c>
      <c r="H78" t="s">
        <v>173</v>
      </c>
      <c r="I78" s="13">
        <f>Parametres!$B$6^(F78+1)</f>
        <v>43046721</v>
      </c>
    </row>
    <row r="79" spans="1:9">
      <c r="A79">
        <v>16</v>
      </c>
      <c r="B79" t="s">
        <v>168</v>
      </c>
      <c r="C79" t="s">
        <v>161</v>
      </c>
      <c r="D79" s="13">
        <f>Parametres!$B$6^A79</f>
        <v>43046721</v>
      </c>
      <c r="F79">
        <v>16</v>
      </c>
      <c r="G79" t="s">
        <v>176</v>
      </c>
      <c r="H79" t="s">
        <v>173</v>
      </c>
      <c r="I79" s="13">
        <f>Parametres!$B$6^(F79+1)</f>
        <v>129140163</v>
      </c>
    </row>
    <row r="80" spans="1:9">
      <c r="A80">
        <v>17</v>
      </c>
      <c r="B80" t="s">
        <v>169</v>
      </c>
      <c r="C80" t="s">
        <v>170</v>
      </c>
      <c r="D80" s="13">
        <f>Parametres!$B$6^17-Parametres!$B$6^15</f>
        <v>114791256</v>
      </c>
      <c r="F80">
        <v>17</v>
      </c>
      <c r="G80" t="s">
        <v>171</v>
      </c>
      <c r="H80" t="s">
        <v>170</v>
      </c>
      <c r="I80" s="13">
        <f>Parametres!$B$6^18-Parametres!$B$6^16</f>
        <v>344373768</v>
      </c>
    </row>
    <row r="81" spans="1:10">
      <c r="A81">
        <v>18</v>
      </c>
      <c r="B81" t="s">
        <v>171</v>
      </c>
      <c r="C81" t="s">
        <v>172</v>
      </c>
      <c r="D81" s="13">
        <f>Parametres!$B$6^18-Parametres!$B$6^16</f>
        <v>344373768</v>
      </c>
      <c r="F81">
        <v>18</v>
      </c>
      <c r="G81" t="s">
        <v>177</v>
      </c>
      <c r="H81" t="s">
        <v>172</v>
      </c>
      <c r="I81" s="13">
        <f>Parametres!$B$6^19-Parametres!$B$6^17</f>
        <v>1033121304</v>
      </c>
    </row>
    <row r="82" spans="1:10">
      <c r="A82" s="31" t="s">
        <v>178</v>
      </c>
      <c r="B82" s="31"/>
      <c r="C82" s="31"/>
      <c r="D82" s="47">
        <f>SUM(D64:D81)</f>
        <v>523735104</v>
      </c>
      <c r="F82" s="31" t="s">
        <v>179</v>
      </c>
      <c r="G82" s="31"/>
      <c r="H82" s="31"/>
      <c r="I82" s="47">
        <f>SUM(I64:I81)</f>
        <v>1571204586</v>
      </c>
    </row>
    <row r="85" spans="1:10">
      <c r="A85" s="49" t="s">
        <v>144</v>
      </c>
      <c r="B85" s="49" t="s">
        <v>91</v>
      </c>
      <c r="C85" s="49" t="s">
        <v>92</v>
      </c>
      <c r="D85" s="49" t="s">
        <v>180</v>
      </c>
      <c r="E85" s="49" t="s">
        <v>179</v>
      </c>
      <c r="F85" s="49" t="s">
        <v>181</v>
      </c>
      <c r="G85" s="49" t="s">
        <v>58</v>
      </c>
      <c r="H85" s="49" t="s">
        <v>182</v>
      </c>
      <c r="I85" s="49" t="s">
        <v>59</v>
      </c>
      <c r="J85" s="49" t="s">
        <v>183</v>
      </c>
    </row>
    <row r="86" spans="1:10">
      <c r="A86">
        <v>1</v>
      </c>
      <c r="B86">
        <v>7</v>
      </c>
      <c r="C86" t="s">
        <v>147</v>
      </c>
      <c r="D86" s="13">
        <f>$D$82+IF(C86="+",1,-1)*Parametres!$B$6^B86</f>
        <v>523737291</v>
      </c>
      <c r="E86" s="13">
        <f>$I$82</f>
        <v>1571204586</v>
      </c>
      <c r="F86" s="13">
        <f>Parametres!$B$6^6</f>
        <v>729</v>
      </c>
      <c r="G86" s="13">
        <f>(E86-D86)/F86</f>
        <v>1436855</v>
      </c>
      <c r="H86" t="str">
        <f>IF(G86=INT(G86),"Oui","Non")</f>
        <v>Oui</v>
      </c>
      <c r="I86" t="str" cm="1">
        <f t="array" ref="I86">_xlfn.LET(_xlpm.p,G86,_xlpm.m,MAX(1,INT((SQRT(_xlpm.p)-1)/2)),IF(OR(_xlpm.p&lt;&gt;INT(_xlpm.p),_xlpm.p&lt;2),"Non",IF(_xlpm.p=2,"Oui",IF(MOD(_xlpm.p,2)=0,"Non",IF(SUM(--(MOD(_xlpm.p,_xlfn.SEQUENCE(_xlpm.m,1,3,2))=0))=0,"Oui","Non")))))</f>
        <v>Non</v>
      </c>
      <c r="J86" t="str">
        <f>IF(I86="Oui","Premier candidat","Composé")</f>
        <v>Composé</v>
      </c>
    </row>
    <row r="87" spans="1:10">
      <c r="A87">
        <v>2</v>
      </c>
      <c r="B87">
        <v>7</v>
      </c>
      <c r="C87" t="s">
        <v>149</v>
      </c>
      <c r="D87" s="13">
        <f>$D$82+IF(C87="+",1,-1)*Parametres!$B$6^B87</f>
        <v>523732917</v>
      </c>
      <c r="E87" s="13">
        <f>$I$82</f>
        <v>1571204586</v>
      </c>
      <c r="F87" s="13">
        <f>Parametres!$B$6^6</f>
        <v>729</v>
      </c>
      <c r="G87" s="13">
        <f>(E87-D87)/F87</f>
        <v>1436861</v>
      </c>
      <c r="H87" t="str">
        <f>IF(G87=INT(G87),"Oui","Non")</f>
        <v>Oui</v>
      </c>
      <c r="I87" t="str" cm="1">
        <f t="array" ref="I87">_xlfn.LET(_xlpm.p,G87,_xlpm.m,MAX(1,INT((SQRT(_xlpm.p)-1)/2)),IF(OR(_xlpm.p&lt;&gt;INT(_xlpm.p),_xlpm.p&lt;2),"Non",IF(_xlpm.p=2,"Oui",IF(MOD(_xlpm.p,2)=0,"Non",IF(SUM(--(MOD(_xlpm.p,_xlfn.SEQUENCE(_xlpm.m,1,3,2))=0))=0,"Oui","Non")))))</f>
        <v>Non</v>
      </c>
      <c r="J87" t="str">
        <f>IF(I87="Oui","Premier candidat","Composé")</f>
        <v>Composé</v>
      </c>
    </row>
    <row r="88" spans="1:10">
      <c r="A88" s="10">
        <v>3</v>
      </c>
      <c r="B88" s="10">
        <v>8</v>
      </c>
      <c r="C88" s="10" t="s">
        <v>147</v>
      </c>
      <c r="D88" s="50">
        <f>$D$82+IF(C88="+",1,-1)*Parametres!$B$6^B88</f>
        <v>523741665</v>
      </c>
      <c r="E88" s="50">
        <f>$I$82</f>
        <v>1571204586</v>
      </c>
      <c r="F88" s="50">
        <f>Parametres!$B$6^6</f>
        <v>729</v>
      </c>
      <c r="G88" s="50">
        <f>(E88-D88)/F88</f>
        <v>1436849</v>
      </c>
      <c r="H88" s="10" t="str">
        <f>IF(G88=INT(G88),"Oui","Non")</f>
        <v>Oui</v>
      </c>
      <c r="I88" s="10" t="str" cm="1">
        <f t="array" ref="I88">_xlfn.LET(_xlpm.p,G88,_xlpm.m,MAX(1,INT((SQRT(_xlpm.p)-1)/2)),IF(OR(_xlpm.p&lt;&gt;INT(_xlpm.p),_xlpm.p&lt;2),"Non",IF(_xlpm.p=2,"Oui",IF(MOD(_xlpm.p,2)=0,"Non",IF(SUM(--(MOD(_xlpm.p,_xlfn.SEQUENCE(_xlpm.m,1,3,2))=0))=0,"Oui","Non")))))</f>
        <v>Oui</v>
      </c>
      <c r="J88" s="10" t="str">
        <f>IF(I88="Oui","Premier candidat","Composé")</f>
        <v>Premier candidat</v>
      </c>
    </row>
    <row r="89" spans="1:10">
      <c r="A89" s="10">
        <v>4</v>
      </c>
      <c r="B89" s="10">
        <v>8</v>
      </c>
      <c r="C89" s="10" t="s">
        <v>149</v>
      </c>
      <c r="D89" s="50">
        <f>$D$82+IF(C89="+",1,-1)*Parametres!$B$6^B89</f>
        <v>523728543</v>
      </c>
      <c r="E89" s="50">
        <f>$I$82</f>
        <v>1571204586</v>
      </c>
      <c r="F89" s="50">
        <f>Parametres!$B$6^6</f>
        <v>729</v>
      </c>
      <c r="G89" s="50">
        <f>(E89-D89)/F89</f>
        <v>1436867</v>
      </c>
      <c r="H89" s="10" t="str">
        <f>IF(G89=INT(G89),"Oui","Non")</f>
        <v>Oui</v>
      </c>
      <c r="I89" s="10" t="str" cm="1">
        <f t="array" ref="I89">_xlfn.LET(_xlpm.p,G89,_xlpm.m,MAX(1,INT((SQRT(_xlpm.p)-1)/2)),IF(OR(_xlpm.p&lt;&gt;INT(_xlpm.p),_xlpm.p&lt;2),"Non",IF(_xlpm.p=2,"Oui",IF(MOD(_xlpm.p,2)=0,"Non",IF(SUM(--(MOD(_xlpm.p,_xlfn.SEQUENCE(_xlpm.m,1,3,2))=0))=0,"Oui","Non")))))</f>
        <v>Oui</v>
      </c>
      <c r="J89" s="10" t="str">
        <f>IF(I89="Oui","Premier candidat","Composé")</f>
        <v>Premier candidat</v>
      </c>
    </row>
    <row r="91" spans="1:10">
      <c r="A91" s="51" t="s">
        <v>184</v>
      </c>
      <c r="B91" s="51"/>
      <c r="C91" s="51"/>
      <c r="D91" s="51"/>
      <c r="E91" s="51"/>
      <c r="F91" s="51"/>
      <c r="G91" s="51"/>
      <c r="H91" s="51"/>
      <c r="I91" s="51"/>
      <c r="J91" s="51"/>
    </row>
    <row r="92" spans="1:10">
      <c r="A92" s="16" t="s">
        <v>185</v>
      </c>
      <c r="B92" s="16"/>
      <c r="C92" s="16"/>
      <c r="D92" s="16"/>
      <c r="E92" s="16"/>
      <c r="F92" s="16"/>
      <c r="G92" s="16"/>
      <c r="H92" s="16"/>
      <c r="I92" s="16"/>
      <c r="J92" s="16"/>
    </row>
    <row r="93" spans="1:10">
      <c r="A93" s="16" t="s">
        <v>186</v>
      </c>
      <c r="B93" s="16"/>
      <c r="C93" s="16"/>
      <c r="D93" s="16"/>
      <c r="E93" s="16"/>
      <c r="F93" s="16"/>
      <c r="G93" s="16"/>
      <c r="H93" s="16"/>
      <c r="I93" s="16"/>
      <c r="J93" s="16"/>
    </row>
  </sheetData>
  <mergeCells count="11">
    <mergeCell ref="A60:J60"/>
    <mergeCell ref="A61:J61"/>
    <mergeCell ref="A91:J91"/>
    <mergeCell ref="A92:J92"/>
    <mergeCell ref="A93:J93"/>
    <mergeCell ref="A1:J1"/>
    <mergeCell ref="A2:J2"/>
    <mergeCell ref="A4:J4"/>
    <mergeCell ref="A11:J11"/>
    <mergeCell ref="A12:J12"/>
    <mergeCell ref="A13:J13"/>
  </mergeCells>
  <hyperlinks>
    <hyperlink ref="D31" r:id="rId1" display="ca://s/?q=terme_ta10_moins_ta8" xr:uid="{784770EE-3124-43F0-AB92-D80325B1CA35}"/>
    <hyperlink ref="D30" r:id="rId2" display="ca://s/?q=terme_ta9_moins_ta7" xr:uid="{9E8270B5-9A23-4CB2-BB40-FB3B83038BD7}"/>
    <hyperlink ref="D29" r:id="rId3" display="ca://s/?q=terme_ta8" xr:uid="{782B861A-69B3-4091-A1B5-52FCD01FD616}"/>
    <hyperlink ref="D28" r:id="rId4" display="ca://s/?q=terme_ta7" xr:uid="{CB6C902E-5872-4889-8D9E-B2B47D07C75C}"/>
    <hyperlink ref="D27" r:id="rId5" display="ca://s/?q=terme_ta6" xr:uid="{27983F6D-74B1-40A5-8BBB-C15D530CED3F}"/>
    <hyperlink ref="D26" r:id="rId6" display="ca://s/?q=terme_ta5" xr:uid="{BFE9B98F-AB01-4AAD-BD36-F6C7840109EF}"/>
    <hyperlink ref="D25" r:id="rId7" display="ca://s/?q=terme_ta4" xr:uid="{4A53005B-32EC-4C6B-9A92-D14C4F6C931E}"/>
    <hyperlink ref="D24" r:id="rId8" display="ca://s/?q=terme_ta3" xr:uid="{8F71EBBF-100D-4C91-8BD8-3D85C1029306}"/>
    <hyperlink ref="D23" r:id="rId9" display="ca://s/?q=terme_ta2" xr:uid="{BB612E50-21B7-42EC-A637-106F474C0E6C}"/>
    <hyperlink ref="D22" r:id="rId10" display="ca://s/?q=terme_ta1" xr:uid="{D9C71F71-00A6-4E2B-A4C5-D061D16F9578}"/>
    <hyperlink ref="H22" r:id="rId11" display="ca://s/?q=terme_ta1" xr:uid="{B82CB89B-5CF7-4701-88FB-64E9C8128D6F}"/>
    <hyperlink ref="H23" r:id="rId12" display="ca://s/?q=terme_ta2" xr:uid="{B37859FD-6F72-44B8-B267-D92B175CB120}"/>
    <hyperlink ref="H24" r:id="rId13" display="ca://s/?q=terme_ta3" xr:uid="{020C59FC-234D-47B4-965A-13AF1C80116B}"/>
    <hyperlink ref="H25" r:id="rId14" display="ca://s/?q=terme_ta4" xr:uid="{4ED94F1E-CAB4-4184-8606-BC9C2C197904}"/>
    <hyperlink ref="H26" r:id="rId15" display="ca://s/?q=terme_ta5" xr:uid="{EF399746-80F8-4B7D-9B5D-8622E6BB8EB1}"/>
    <hyperlink ref="H27" r:id="rId16" display="ca://s/?q=terme_ta6" xr:uid="{8C801D83-4E74-4B0A-A5A7-4398F22A3652}"/>
    <hyperlink ref="H28" r:id="rId17" display="ca://s/?q=terme_ta7" xr:uid="{FADCB387-E26C-4915-9AD8-9A89CABF91CD}"/>
    <hyperlink ref="H29" r:id="rId18" display="ca://s/?q=terme_ta8_moins_ta6" xr:uid="{CEE7918A-D75D-4839-A51E-BA052B748C59}"/>
    <hyperlink ref="H30" r:id="rId19" display="ca://s/?q=terme_ta9_moins_ta7" xr:uid="{458F9391-BDDA-4DBE-9ED8-B655444AE198}"/>
    <hyperlink ref="H31" r:id="rId20" display="ca://s/?q=somme_A9" xr:uid="{3189D9CB-4277-45E4-A25D-3E9247D1BB0D}"/>
    <hyperlink ref="D35" r:id="rId21" display="ca://s/?q=terme_tb1" xr:uid="{F34BE36F-45AD-417F-A932-DD866F4F2462}"/>
    <hyperlink ref="D36" r:id="rId22" display="ca://s/?q=terme_tb2" xr:uid="{9814BD86-3688-4EC1-9C0D-99732C0A426E}"/>
    <hyperlink ref="D37" r:id="rId23" display="ca://s/?q=terme_tb3" xr:uid="{2386487F-DC88-453A-83D8-2A20E73D1F50}"/>
    <hyperlink ref="D38" r:id="rId24" display="ca://s/?q=terme_tb4" xr:uid="{34EBABFF-E16E-4F6D-828B-9C7EB17DD144}"/>
    <hyperlink ref="D39" r:id="rId25" display="ca://s/?q=terme_tb5" xr:uid="{861161B3-7109-4D27-84AD-4095A01074F9}"/>
    <hyperlink ref="D40" r:id="rId26" display="ca://s/?q=terme_tb7" xr:uid="{A00BBF29-7D1C-43B9-9CB7-791DB989E41B}"/>
    <hyperlink ref="D41" r:id="rId27" display="ca://s/?q=terme_tb8" xr:uid="{7A8568C8-7B43-4692-A9F7-F9FC2B33D1CA}"/>
    <hyperlink ref="D42" r:id="rId28" display="ca://s/?q=terme_tb9" xr:uid="{C3D16361-4910-4549-854E-F966E96B2F5E}"/>
    <hyperlink ref="D43" r:id="rId29" display="ca://s/?q=terme_tb10_moins_tb8" xr:uid="{796C7969-C664-46CD-8C90-6D9DF0401DEC}"/>
    <hyperlink ref="D44" r:id="rId30" display="ca://s/?q=terme_tb11_moins_tb9" xr:uid="{ECDDF549-4F09-4D54-A493-6F4BD94DA41D}"/>
    <hyperlink ref="D45" r:id="rId31" display="ca://s/?q=somme_B10" xr:uid="{0CE8E936-B77A-4D7C-86A3-BE1D4474485E}"/>
    <hyperlink ref="H35" r:id="rId32" display="ca://s/?q=terme_tb1" xr:uid="{1DC7F4EC-73F2-49E7-99F3-704F79EC28F4}"/>
    <hyperlink ref="H36" r:id="rId33" display="ca://s/?q=terme_tb2" xr:uid="{729A8276-CD7D-4018-B372-63874A8E10B3}"/>
    <hyperlink ref="H37" r:id="rId34" display="ca://s/?q=terme_tb3" xr:uid="{8A4072DA-87DA-4BFE-8493-BF3EEF7030AD}"/>
    <hyperlink ref="H38" r:id="rId35" display="ca://s/?q=terme_tb4" xr:uid="{04F8B5E6-E4EF-4478-ADC6-8058EC94BFAD}"/>
    <hyperlink ref="H39" r:id="rId36" display="ca://s/?q=terme_tb5" xr:uid="{3D81B721-E7AD-40E6-AC11-65D81E041763}"/>
    <hyperlink ref="H40" r:id="rId37" display="ca://s/?q=terme_tb7" xr:uid="{FB1E12A3-974E-42EB-96D5-6B599C2B91E8}"/>
    <hyperlink ref="H41" r:id="rId38" display="ca://s/?q=terme_tb8" xr:uid="{1A2545F0-3D94-4C2A-93B2-5AB28C5B7E1C}"/>
    <hyperlink ref="H42" r:id="rId39" display="ca://s/?q=terme_tb9_moins_tb7" xr:uid="{72CB9B09-A5F2-4001-8146-1664A4F2644C}"/>
    <hyperlink ref="H43" r:id="rId40" display="ca://s/?q=terme_tb10_moins_tb8" xr:uid="{3E7D62C1-18BC-4B76-B227-8238AE1915A7}"/>
    <hyperlink ref="H44" r:id="rId41" display="ca://s/?q=somme_B9" xr:uid="{9643ACFC-DD9B-424A-AD70-61BF8097A2D8}"/>
    <hyperlink ref="F54" r:id="rId42" display="ca://s/?q=Digamma_option_1" xr:uid="{7881635E-F840-4C1F-8C05-89394873BB9D}"/>
    <hyperlink ref="G54" r:id="rId43" display="ca://s/?q=Somme_suite_B_10" xr:uid="{89B3C40E-8ED0-4BA0-B3FD-2B123DBB83BD}"/>
    <hyperlink ref="H54" r:id="rId44" display="ca://s/?q=Zeta_6e_terme" xr:uid="{15D8A204-CD86-4DD6-B358-024C151ABD3A}"/>
    <hyperlink ref="F55" r:id="rId45" display="ca://s/?q=Digamma_option_2" xr:uid="{85BF7384-7746-45C3-B0D8-E8CC9CE3E253}"/>
    <hyperlink ref="G55" r:id="rId46" display="ca://s/?q=Somme_suite_B_10" xr:uid="{4414F026-4DF9-46F9-B76E-2F3F053BDDF4}"/>
    <hyperlink ref="H55" r:id="rId47" display="ca://s/?q=Zeta_6e_terme" xr:uid="{E3E9FD23-44EA-442E-BD91-6FE9EA8DF0AD}"/>
    <hyperlink ref="F56" r:id="rId48" display="ca://s/?q=Digamma_option_3" xr:uid="{EF9022CC-479B-4F8D-BE89-72CD6153292E}"/>
    <hyperlink ref="G56" r:id="rId49" display="ca://s/?q=Somme_suite_B_10" xr:uid="{D01B3634-E81C-451A-ABDC-47ACD86D8E8D}"/>
    <hyperlink ref="H56" r:id="rId50" display="ca://s/?q=Zeta_6e_terme" xr:uid="{1B96863F-B9FB-45AA-A76F-B294BC17550C}"/>
    <hyperlink ref="F57" r:id="rId51" display="ca://s/?q=Digamma_option_4" xr:uid="{107A71FF-E3E1-4345-8FE4-5035311A0A68}"/>
    <hyperlink ref="G57" r:id="rId52" display="ca://s/?q=Somme_suite_B_10" xr:uid="{D30C5C74-3F53-42FF-AD73-89182959F10C}"/>
    <hyperlink ref="H57" r:id="rId53" display="ca://s/?q=Zeta_6e_terme" xr:uid="{8B8F9603-AE37-4CAF-920C-ACF92DA985DC}"/>
  </hyperlinks>
  <pageMargins left="0.7" right="0.7" top="0.75" bottom="0.75" header="0.3" footer="0.3"/>
  <tableParts count="2">
    <tablePart r:id="rId54"/>
    <tablePart r:id="rId5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4E8A-1EC3-4179-ABFA-A63831FFA1F2}">
  <dimension ref="A1:B87"/>
  <sheetViews>
    <sheetView topLeftCell="A72" workbookViewId="0">
      <selection sqref="A1:M1"/>
    </sheetView>
  </sheetViews>
  <sheetFormatPr baseColWidth="10" defaultRowHeight="14.4"/>
  <cols>
    <col min="1" max="1" width="10.21875" customWidth="1"/>
    <col min="2" max="2" width="64.77734375" customWidth="1"/>
  </cols>
  <sheetData>
    <row r="1" spans="1:2" ht="30" customHeight="1">
      <c r="A1" s="2" t="s">
        <v>97</v>
      </c>
      <c r="B1" s="2"/>
    </row>
    <row r="2" spans="1:2">
      <c r="A2" s="3" t="s">
        <v>98</v>
      </c>
      <c r="B2" s="3"/>
    </row>
    <row r="4" spans="1:2" ht="15.6">
      <c r="A4" s="5" t="s">
        <v>99</v>
      </c>
      <c r="B4" s="5"/>
    </row>
    <row r="5" spans="1:2">
      <c r="A5" t="s">
        <v>100</v>
      </c>
      <c r="B5" t="s">
        <v>101</v>
      </c>
    </row>
    <row r="6" spans="1:2">
      <c r="A6">
        <v>1</v>
      </c>
      <c r="B6" s="17" t="s">
        <v>102</v>
      </c>
    </row>
    <row r="7" spans="1:2">
      <c r="A7">
        <v>2</v>
      </c>
      <c r="B7" s="17" t="s">
        <v>103</v>
      </c>
    </row>
    <row r="8" spans="1:2">
      <c r="A8">
        <v>3</v>
      </c>
      <c r="B8" s="17"/>
    </row>
    <row r="9" spans="1:2">
      <c r="A9">
        <v>4</v>
      </c>
      <c r="B9" s="17" t="s">
        <v>104</v>
      </c>
    </row>
    <row r="10" spans="1:2">
      <c r="A10">
        <v>5</v>
      </c>
      <c r="B10" s="17" t="s">
        <v>248</v>
      </c>
    </row>
    <row r="11" spans="1:2">
      <c r="A11">
        <v>6</v>
      </c>
      <c r="B11" s="17" t="s">
        <v>249</v>
      </c>
    </row>
    <row r="12" spans="1:2">
      <c r="A12">
        <v>7</v>
      </c>
      <c r="B12" s="17" t="s">
        <v>250</v>
      </c>
    </row>
    <row r="13" spans="1:2">
      <c r="A13">
        <v>8</v>
      </c>
      <c r="B13" s="17" t="s">
        <v>251</v>
      </c>
    </row>
    <row r="14" spans="1:2">
      <c r="A14">
        <v>9</v>
      </c>
      <c r="B14" s="17" t="s">
        <v>252</v>
      </c>
    </row>
    <row r="15" spans="1:2">
      <c r="A15">
        <v>10</v>
      </c>
      <c r="B15" s="17"/>
    </row>
    <row r="16" spans="1:2">
      <c r="A16">
        <v>11</v>
      </c>
      <c r="B16" s="17" t="s">
        <v>253</v>
      </c>
    </row>
    <row r="17" spans="1:2">
      <c r="A17">
        <v>12</v>
      </c>
      <c r="B17" s="17" t="s">
        <v>254</v>
      </c>
    </row>
    <row r="18" spans="1:2">
      <c r="A18">
        <v>13</v>
      </c>
      <c r="B18" s="17" t="s">
        <v>255</v>
      </c>
    </row>
    <row r="19" spans="1:2">
      <c r="A19">
        <v>14</v>
      </c>
      <c r="B19" s="17" t="s">
        <v>256</v>
      </c>
    </row>
    <row r="20" spans="1:2">
      <c r="A20">
        <v>15</v>
      </c>
      <c r="B20" s="17" t="s">
        <v>257</v>
      </c>
    </row>
    <row r="21" spans="1:2">
      <c r="A21">
        <v>16</v>
      </c>
      <c r="B21" s="17"/>
    </row>
    <row r="22" spans="1:2">
      <c r="A22">
        <v>17</v>
      </c>
      <c r="B22" s="17" t="s">
        <v>258</v>
      </c>
    </row>
    <row r="23" spans="1:2">
      <c r="A23">
        <v>18</v>
      </c>
      <c r="B23" s="17" t="s">
        <v>259</v>
      </c>
    </row>
    <row r="24" spans="1:2">
      <c r="A24">
        <v>19</v>
      </c>
      <c r="B24" s="17" t="s">
        <v>260</v>
      </c>
    </row>
    <row r="25" spans="1:2">
      <c r="A25">
        <v>20</v>
      </c>
      <c r="B25" s="17" t="s">
        <v>261</v>
      </c>
    </row>
    <row r="26" spans="1:2">
      <c r="A26">
        <v>21</v>
      </c>
      <c r="B26" s="17" t="s">
        <v>262</v>
      </c>
    </row>
    <row r="27" spans="1:2">
      <c r="A27">
        <v>22</v>
      </c>
      <c r="B27" s="17" t="s">
        <v>263</v>
      </c>
    </row>
    <row r="28" spans="1:2">
      <c r="A28">
        <v>23</v>
      </c>
      <c r="B28" s="17" t="s">
        <v>264</v>
      </c>
    </row>
    <row r="29" spans="1:2">
      <c r="A29">
        <v>24</v>
      </c>
      <c r="B29" s="17" t="s">
        <v>265</v>
      </c>
    </row>
    <row r="30" spans="1:2">
      <c r="A30">
        <v>25</v>
      </c>
      <c r="B30" s="17" t="s">
        <v>266</v>
      </c>
    </row>
    <row r="31" spans="1:2">
      <c r="A31">
        <v>26</v>
      </c>
      <c r="B31" s="17" t="s">
        <v>267</v>
      </c>
    </row>
    <row r="32" spans="1:2">
      <c r="A32">
        <v>27</v>
      </c>
      <c r="B32" s="17" t="s">
        <v>268</v>
      </c>
    </row>
    <row r="33" spans="1:2">
      <c r="A33">
        <v>28</v>
      </c>
      <c r="B33" s="17" t="s">
        <v>269</v>
      </c>
    </row>
    <row r="34" spans="1:2">
      <c r="A34">
        <v>29</v>
      </c>
      <c r="B34" s="17" t="s">
        <v>270</v>
      </c>
    </row>
    <row r="35" spans="1:2">
      <c r="A35">
        <v>30</v>
      </c>
      <c r="B35" s="17" t="s">
        <v>271</v>
      </c>
    </row>
    <row r="36" spans="1:2">
      <c r="A36">
        <v>31</v>
      </c>
      <c r="B36" s="17" t="s">
        <v>272</v>
      </c>
    </row>
    <row r="37" spans="1:2">
      <c r="A37">
        <v>32</v>
      </c>
      <c r="B37" s="17"/>
    </row>
    <row r="38" spans="1:2">
      <c r="A38">
        <v>33</v>
      </c>
      <c r="B38" s="17" t="s">
        <v>273</v>
      </c>
    </row>
    <row r="39" spans="1:2">
      <c r="A39">
        <v>34</v>
      </c>
      <c r="B39" s="17" t="s">
        <v>259</v>
      </c>
    </row>
    <row r="40" spans="1:2">
      <c r="A40">
        <v>35</v>
      </c>
      <c r="B40" s="17" t="s">
        <v>260</v>
      </c>
    </row>
    <row r="41" spans="1:2">
      <c r="A41">
        <v>36</v>
      </c>
      <c r="B41" s="17" t="s">
        <v>274</v>
      </c>
    </row>
    <row r="42" spans="1:2">
      <c r="A42">
        <v>37</v>
      </c>
      <c r="B42" s="17" t="s">
        <v>269</v>
      </c>
    </row>
    <row r="43" spans="1:2">
      <c r="A43">
        <v>38</v>
      </c>
      <c r="B43" s="17" t="s">
        <v>275</v>
      </c>
    </row>
    <row r="44" spans="1:2">
      <c r="A44">
        <v>39</v>
      </c>
      <c r="B44" s="17" t="s">
        <v>276</v>
      </c>
    </row>
    <row r="45" spans="1:2">
      <c r="A45">
        <v>40</v>
      </c>
      <c r="B45" s="17" t="s">
        <v>277</v>
      </c>
    </row>
    <row r="46" spans="1:2">
      <c r="A46">
        <v>41</v>
      </c>
      <c r="B46" s="17" t="s">
        <v>278</v>
      </c>
    </row>
    <row r="47" spans="1:2">
      <c r="A47">
        <v>42</v>
      </c>
      <c r="B47" s="17" t="s">
        <v>279</v>
      </c>
    </row>
    <row r="48" spans="1:2">
      <c r="A48">
        <v>43</v>
      </c>
      <c r="B48" s="17" t="s">
        <v>280</v>
      </c>
    </row>
    <row r="49" spans="1:2">
      <c r="A49">
        <v>44</v>
      </c>
      <c r="B49" s="17"/>
    </row>
    <row r="50" spans="1:2">
      <c r="A50">
        <v>45</v>
      </c>
      <c r="B50" s="17" t="s">
        <v>281</v>
      </c>
    </row>
    <row r="51" spans="1:2">
      <c r="A51">
        <v>46</v>
      </c>
      <c r="B51" s="17" t="s">
        <v>282</v>
      </c>
    </row>
    <row r="52" spans="1:2">
      <c r="A52">
        <v>47</v>
      </c>
      <c r="B52" s="17" t="s">
        <v>283</v>
      </c>
    </row>
    <row r="53" spans="1:2">
      <c r="A53">
        <v>48</v>
      </c>
      <c r="B53" s="17" t="s">
        <v>284</v>
      </c>
    </row>
    <row r="54" spans="1:2">
      <c r="A54">
        <v>49</v>
      </c>
      <c r="B54" s="17"/>
    </row>
    <row r="55" spans="1:2">
      <c r="A55">
        <v>50</v>
      </c>
      <c r="B55" s="17" t="s">
        <v>285</v>
      </c>
    </row>
    <row r="56" spans="1:2">
      <c r="A56">
        <v>51</v>
      </c>
      <c r="B56" s="17" t="s">
        <v>286</v>
      </c>
    </row>
    <row r="57" spans="1:2">
      <c r="A57">
        <v>52</v>
      </c>
      <c r="B57" s="17" t="s">
        <v>287</v>
      </c>
    </row>
    <row r="58" spans="1:2">
      <c r="A58">
        <v>53</v>
      </c>
      <c r="B58" s="17" t="s">
        <v>288</v>
      </c>
    </row>
    <row r="59" spans="1:2">
      <c r="A59">
        <v>54</v>
      </c>
      <c r="B59" s="17" t="s">
        <v>289</v>
      </c>
    </row>
    <row r="60" spans="1:2">
      <c r="A60">
        <v>55</v>
      </c>
      <c r="B60" s="17"/>
    </row>
    <row r="61" spans="1:2">
      <c r="A61">
        <v>56</v>
      </c>
      <c r="B61" s="17" t="s">
        <v>105</v>
      </c>
    </row>
    <row r="62" spans="1:2">
      <c r="A62">
        <v>57</v>
      </c>
      <c r="B62" s="17" t="s">
        <v>290</v>
      </c>
    </row>
    <row r="63" spans="1:2">
      <c r="A63">
        <v>58</v>
      </c>
      <c r="B63" s="17" t="s">
        <v>291</v>
      </c>
    </row>
    <row r="64" spans="1:2">
      <c r="A64">
        <v>59</v>
      </c>
      <c r="B64" s="17" t="s">
        <v>106</v>
      </c>
    </row>
    <row r="65" spans="1:2">
      <c r="A65">
        <v>60</v>
      </c>
      <c r="B65" s="17" t="s">
        <v>292</v>
      </c>
    </row>
    <row r="66" spans="1:2">
      <c r="A66">
        <v>61</v>
      </c>
      <c r="B66" s="17"/>
    </row>
    <row r="67" spans="1:2">
      <c r="A67">
        <v>62</v>
      </c>
      <c r="B67" s="17" t="s">
        <v>293</v>
      </c>
    </row>
    <row r="68" spans="1:2">
      <c r="A68">
        <v>63</v>
      </c>
      <c r="B68" s="17" t="s">
        <v>294</v>
      </c>
    </row>
    <row r="69" spans="1:2">
      <c r="A69">
        <v>64</v>
      </c>
      <c r="B69" s="17" t="s">
        <v>295</v>
      </c>
    </row>
    <row r="70" spans="1:2">
      <c r="A70">
        <v>65</v>
      </c>
      <c r="B70" s="17" t="s">
        <v>296</v>
      </c>
    </row>
    <row r="71" spans="1:2">
      <c r="A71">
        <v>66</v>
      </c>
      <c r="B71" s="17" t="s">
        <v>297</v>
      </c>
    </row>
    <row r="72" spans="1:2">
      <c r="A72">
        <v>67</v>
      </c>
      <c r="B72" s="17" t="s">
        <v>298</v>
      </c>
    </row>
    <row r="73" spans="1:2">
      <c r="A73">
        <v>68</v>
      </c>
      <c r="B73" s="17" t="s">
        <v>299</v>
      </c>
    </row>
    <row r="74" spans="1:2">
      <c r="A74">
        <v>69</v>
      </c>
      <c r="B74" s="17" t="s">
        <v>300</v>
      </c>
    </row>
    <row r="75" spans="1:2">
      <c r="A75">
        <v>70</v>
      </c>
      <c r="B75" s="17" t="s">
        <v>301</v>
      </c>
    </row>
    <row r="76" spans="1:2">
      <c r="A76">
        <v>71</v>
      </c>
      <c r="B76" s="17" t="s">
        <v>302</v>
      </c>
    </row>
    <row r="77" spans="1:2">
      <c r="A77">
        <v>72</v>
      </c>
      <c r="B77" s="17"/>
    </row>
    <row r="78" spans="1:2">
      <c r="A78">
        <v>73</v>
      </c>
      <c r="B78" s="17" t="s">
        <v>303</v>
      </c>
    </row>
    <row r="79" spans="1:2">
      <c r="A79">
        <v>74</v>
      </c>
      <c r="B79" s="17" t="s">
        <v>304</v>
      </c>
    </row>
    <row r="80" spans="1:2">
      <c r="A80">
        <v>75</v>
      </c>
      <c r="B80" s="17" t="s">
        <v>305</v>
      </c>
    </row>
    <row r="81" spans="1:2">
      <c r="A81">
        <v>76</v>
      </c>
      <c r="B81" s="17" t="s">
        <v>306</v>
      </c>
    </row>
    <row r="82" spans="1:2">
      <c r="A82">
        <v>77</v>
      </c>
      <c r="B82" s="17"/>
    </row>
    <row r="83" spans="1:2">
      <c r="A83">
        <v>78</v>
      </c>
      <c r="B83" s="17" t="s">
        <v>107</v>
      </c>
    </row>
    <row r="84" spans="1:2">
      <c r="A84">
        <v>79</v>
      </c>
      <c r="B84" s="17" t="s">
        <v>307</v>
      </c>
    </row>
    <row r="85" spans="1:2">
      <c r="A85">
        <v>80</v>
      </c>
      <c r="B85" s="17" t="s">
        <v>308</v>
      </c>
    </row>
    <row r="86" spans="1:2">
      <c r="A86">
        <v>81</v>
      </c>
      <c r="B86" s="17" t="s">
        <v>309</v>
      </c>
    </row>
    <row r="87" spans="1:2">
      <c r="A87">
        <v>82</v>
      </c>
      <c r="B87" s="17" t="s">
        <v>310</v>
      </c>
    </row>
  </sheetData>
  <mergeCells count="3">
    <mergeCell ref="A1:B1"/>
    <mergeCell ref="A2:B2"/>
    <mergeCell ref="A4:B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Accueil</vt:lpstr>
      <vt:lpstr>Exemple 1-3</vt:lpstr>
      <vt:lpstr>Parametres</vt:lpstr>
      <vt:lpstr>Moteur Universel</vt:lpstr>
      <vt:lpstr>Modèle Formel</vt:lpstr>
      <vt:lpstr>Démonstration Formelle</vt:lpstr>
      <vt:lpstr>Convolution</vt:lpstr>
      <vt:lpstr>Tests Digamma</vt:lpstr>
      <vt:lpstr>Code 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Thomas Savard</dc:creator>
  <cp:lastModifiedBy>Philippe Thomas Savard</cp:lastModifiedBy>
  <dcterms:created xsi:type="dcterms:W3CDTF">2026-08-31T16:13:37Z</dcterms:created>
  <dcterms:modified xsi:type="dcterms:W3CDTF">2026-09-01T00:05:53Z</dcterms:modified>
</cp:coreProperties>
</file>